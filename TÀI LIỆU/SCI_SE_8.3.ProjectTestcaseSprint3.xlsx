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E:\Bao Cao Tai Lieu KLTN\"/>
    </mc:Choice>
  </mc:AlternateContent>
  <xr:revisionPtr revIDLastSave="0" documentId="13_ncr:1_{A1BB5984-FD3E-4F83-8254-83C9D2467ECC}" xr6:coauthVersionLast="47" xr6:coauthVersionMax="47" xr10:uidLastSave="{00000000-0000-0000-0000-000000000000}"/>
  <bookViews>
    <workbookView xWindow="-110" yWindow="-110" windowWidth="19420" windowHeight="10300" activeTab="6" xr2:uid="{00000000-000D-0000-FFFF-FFFF00000000}"/>
  </bookViews>
  <sheets>
    <sheet name="Trường hợp kiểm thử" sheetId="1" r:id="rId1"/>
    <sheet name="Quản lý đánh giá" sheetId="5" r:id="rId2"/>
    <sheet name="Quản lý đơn hàng" sheetId="2" r:id="rId3"/>
    <sheet name="Quản lý chương trình giảm giá" sheetId="6" r:id="rId4"/>
    <sheet name="Thống kê và báo cáo" sheetId="3" r:id="rId5"/>
    <sheet name="Nâng cấp gói hội viên" sheetId="7" r:id="rId6"/>
    <sheet name="Quản lý gói hội viên"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D5" i="4"/>
  <c r="E4" i="4"/>
  <c r="D4" i="4"/>
  <c r="E5" i="7"/>
  <c r="D5" i="7"/>
  <c r="E4" i="7"/>
  <c r="D4" i="7"/>
  <c r="E5" i="3"/>
  <c r="D5" i="3"/>
  <c r="E4" i="3"/>
  <c r="D4" i="3"/>
  <c r="E5" i="6"/>
  <c r="D5" i="6"/>
  <c r="E4" i="6"/>
  <c r="D4" i="6"/>
  <c r="E5" i="2"/>
  <c r="D5" i="2"/>
  <c r="E4" i="2"/>
  <c r="D4" i="2"/>
  <c r="E5" i="5"/>
  <c r="D5" i="5"/>
  <c r="E4" i="5"/>
  <c r="D4" i="5"/>
</calcChain>
</file>

<file path=xl/sharedStrings.xml><?xml version="1.0" encoding="utf-8"?>
<sst xmlns="http://schemas.openxmlformats.org/spreadsheetml/2006/main" count="1243" uniqueCount="511">
  <si>
    <t>TEST CASE SYSTEM SPRINT 3</t>
  </si>
  <si>
    <t>Tên dự án</t>
  </si>
  <si>
    <t>Xây dựng hệ thống cung cấp sách số trực tuyến BookNest tích hợp chatbot AI</t>
  </si>
  <si>
    <t>STT</t>
  </si>
  <si>
    <t>Chức năng</t>
  </si>
  <si>
    <t>Sheet Name</t>
  </si>
  <si>
    <t>Mô tả</t>
  </si>
  <si>
    <t>Quản lý đánh giá</t>
  </si>
  <si>
    <t>Kiểm tra đánh giá và nhận xét của thành viên, cho phép quản trị hiển thị ẩn hoặc xóa đánh giá</t>
  </si>
  <si>
    <t>Quản lý đơn hàng</t>
  </si>
  <si>
    <t>Kiểm tra lưu trữ lịch sử giao dịch, trạng thái đơn hàng</t>
  </si>
  <si>
    <t>Quản lý chương trình giảm giá</t>
  </si>
  <si>
    <t>Kiểm tra các chương trình khuyến mãi, ưu đãi</t>
  </si>
  <si>
    <t>Thống kê và báo cáo</t>
  </si>
  <si>
    <t>Kiểm tra tổng hợp dữ liệu và xuất các báo cáo về doanh thu,...</t>
  </si>
  <si>
    <t>Nâng cấp gói hội viên</t>
  </si>
  <si>
    <t>Kiểm tra chức năng nâng cấp gói cho phép người dùng nâng cấp từ free thành hội viên</t>
  </si>
  <si>
    <t>Quản lý gói hội viên</t>
  </si>
  <si>
    <t>Kiểm tra thiết lập các gói hội viên và các thao tác thêm sửa xóa</t>
  </si>
  <si>
    <t>Project Name</t>
  </si>
  <si>
    <t>Module Code</t>
  </si>
  <si>
    <t>Hoàn thành</t>
  </si>
  <si>
    <t>Lỗi</t>
  </si>
  <si>
    <t>Chưa kiểm tra</t>
  </si>
  <si>
    <t>Bị chăn</t>
  </si>
  <si>
    <t>Tổng số trường hợp thử nghiệm</t>
  </si>
  <si>
    <t>Round 1</t>
  </si>
  <si>
    <t>Round 2</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</si>
  <si>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</si>
  <si>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</si>
  <si>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</si>
  <si>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</si>
  <si>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</si>
  <si>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</si>
  <si>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</si>
  <si>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</si>
  <si>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</si>
  <si>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</si>
  <si>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</si>
  <si>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</si>
  <si>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Quản lý đánh giá</t>
  </si>
  <si>
    <t>GUI-QLDG01</t>
  </si>
  <si>
    <t>[Quản lý đánh giá] Label</t>
  </si>
  <si>
    <t>Đăng nhập bằng tài 
khoản Admin</t>
  </si>
  <si>
    <t xml:space="preserve"> -Text color : black
 -Status : enable</t>
  </si>
  <si>
    <t>Thúy</t>
  </si>
  <si>
    <t>GUI-QLDG02</t>
  </si>
  <si>
    <t>[ID] Label</t>
  </si>
  <si>
    <t>GUI-QLDG03</t>
  </si>
  <si>
    <t>[Người dùng] Label</t>
  </si>
  <si>
    <t>GUI-QLDG04</t>
  </si>
  <si>
    <t>[Sách] Label</t>
  </si>
  <si>
    <t>GUI-QLDG05</t>
  </si>
  <si>
    <t>[Sao] Label</t>
  </si>
  <si>
    <t xml:space="preserve"> -Text color : yellow
 -Status : enable</t>
  </si>
  <si>
    <t>GUI-QLDG06</t>
  </si>
  <si>
    <t>[Nội dung] Label</t>
  </si>
  <si>
    <t xml:space="preserve"> -Text color : black
 -Status : enable
</t>
  </si>
  <si>
    <t xml:space="preserve"> -Text color : white
 -Status : enable
</t>
  </si>
  <si>
    <t>Fail</t>
  </si>
  <si>
    <t>Passed</t>
  </si>
  <si>
    <t>GUI-QLDG07</t>
  </si>
  <si>
    <t>[Ngày] Date</t>
  </si>
  <si>
    <t>GUI-QLDG08</t>
  </si>
  <si>
    <t>[Trạng thái] Label</t>
  </si>
  <si>
    <t xml:space="preserve"> -Text color : green
 -Status : enable
</t>
  </si>
  <si>
    <t>GUI-QLDG09</t>
  </si>
  <si>
    <t>[Ẩn] Button</t>
  </si>
  <si>
    <t>GUI-QLDG10</t>
  </si>
  <si>
    <t>[Xóa] Button</t>
  </si>
  <si>
    <t xml:space="preserve"> -Text color : Red
 -Status : enable
</t>
  </si>
  <si>
    <t>GUI-QLDG11</t>
  </si>
  <si>
    <t>[Hiện] Button</t>
  </si>
  <si>
    <t>GUI-QLDG12</t>
  </si>
  <si>
    <t>[Tìm theo tên sách] Textbox</t>
  </si>
  <si>
    <t>GUI-QLDG13</t>
  </si>
  <si>
    <t>[Người dùng] Textbox</t>
  </si>
  <si>
    <t xml:space="preserve"> -Text color : Blue
 -Status : disable</t>
  </si>
  <si>
    <t>GUI-QLDG14</t>
  </si>
  <si>
    <t>[Tất cả sao] Dropdown</t>
  </si>
  <si>
    <t>GUI-QLDG15</t>
  </si>
  <si>
    <t>[Ngày bắt đầu] Date Picker</t>
  </si>
  <si>
    <t>GUI-QLDG16</t>
  </si>
  <si>
    <t>[Ngày kết thúc] Date Picker</t>
  </si>
  <si>
    <t>GUI-QLDG17</t>
  </si>
  <si>
    <t>[chuyển trang]Button</t>
  </si>
  <si>
    <t>GUI-QLDG18</t>
  </si>
  <si>
    <t>[Số trang hiện tại]Label</t>
  </si>
  <si>
    <t>FUNCTION_SHOW Quản lý đánh giá</t>
  </si>
  <si>
    <t>FUNC-QLDG01</t>
  </si>
  <si>
    <t>Xác minh hiển thị danh sách đánh giá</t>
  </si>
  <si>
    <t>1. Đăng nhập tài khoản Admin 
2. Truy cập màn hình Quản lý đánh giá</t>
  </si>
  <si>
    <t>Hiển thị danh sách đánh giá</t>
  </si>
  <si>
    <t>FUNC-QLDG02</t>
  </si>
  <si>
    <t>Xác minh tìm kiếm theo tên sách</t>
  </si>
  <si>
    <t xml:space="preserve">
1. Đăng nhập Admin 2. Truy cập Quản lý đánh giá 
3. Nhập tên sách vào ô tìm kiếm
</t>
  </si>
  <si>
    <t>Có dữ liệu đánh giá</t>
  </si>
  <si>
    <t>Hiển thị đúng đánh giá theo tên sách</t>
  </si>
  <si>
    <t>Button Gửi đánh giá disable</t>
  </si>
  <si>
    <t>FUNC-QLDG03</t>
  </si>
  <si>
    <t>Xác minh tìm kiếm theo người dùng</t>
  </si>
  <si>
    <t xml:space="preserve">1. Đăng nhập Admin 2. Truy cập Quản lý đánh giá 
3. Nhập tên người dùng
</t>
  </si>
  <si>
    <t>Hiển thị đúng đánh giá theo người dùng</t>
  </si>
  <si>
    <t>Hiển thị sai đánh giá theo người dùng</t>
  </si>
  <si>
    <t>Failed</t>
  </si>
  <si>
    <t>FUNC-QLDG04</t>
  </si>
  <si>
    <t>Xác minh lọc theo số sao</t>
  </si>
  <si>
    <t xml:space="preserve">1. Đăng nhập Admin 2. Truy cập Quản lý đánh giá 
3. Chọn 5 sao tại dropdown
</t>
  </si>
  <si>
    <t>Có dữ liệu 5 sao</t>
  </si>
  <si>
    <t>Chỉ hiển thị đánh giá 5 sao</t>
  </si>
  <si>
    <t>FUNC-QLDG05</t>
  </si>
  <si>
    <t>Xác minh lọc theo khoảng ngày</t>
  </si>
  <si>
    <t xml:space="preserve">1. Đăng nhập Admin 2. Truy cập Quản lý đánh giá 
3. Chọn ngày bắt đầu và ngày kết thúc
</t>
  </si>
  <si>
    <t>Hiển thị đúng dữ liệu trong khoảng ngày</t>
  </si>
  <si>
    <t>FUNC-QLDG06</t>
  </si>
  <si>
    <t>Xác minh chuyển trạng thái Ẩn đánh giá</t>
  </si>
  <si>
    <t xml:space="preserve">1. Đăng nhập Admin 2. Truy cập Quản lý đánh giá 
3. Click button Ẩn
</t>
  </si>
  <si>
    <t>Có đánh giá trạng thái Hiển thị</t>
  </si>
  <si>
    <t>Hiển thị thông báo:" Đã ẩn đánh giá"
Đánh giá chuyển sang trạng thái Ẩn
Đánh giá được ẩn khỏi phần đánh giá sách</t>
  </si>
  <si>
    <t>FUNC-QLDG07</t>
  </si>
  <si>
    <t>Xác minh chuyển trạng thái Hiển thị đánh giá</t>
  </si>
  <si>
    <t xml:space="preserve">1. Đăng nhập Admin 2. Truy cập Quản lý đánh giá 
3. Click button Hiện
</t>
  </si>
  <si>
    <t>Có đánh giá trạng thái ẩn</t>
  </si>
  <si>
    <t>Hiển thị thông báo:" Đã hiện đánh giá"
Đánh giá chuyển sang trạng thái Hiển thị
Đánh giá được hiển thị ở phần đánh giá sách</t>
  </si>
  <si>
    <t>FUNC-QLDG08</t>
  </si>
  <si>
    <t>Xác minh xóa đánh giá thành công</t>
  </si>
  <si>
    <t xml:space="preserve">1. Đăng nhập Admin 2. Truy cập Quản lý đánh giá 
3. Click button Xóa 
4. Click OK
</t>
  </si>
  <si>
    <t>Chưa đăng nhập</t>
  </si>
  <si>
    <t>Hiển thị thông báo: "Đã xóa đánh giá"
Đánh giá bị xóa khỏi danh sách</t>
  </si>
  <si>
    <t>FUNC-QLDG09</t>
  </si>
  <si>
    <t>Xác minh không hiển thị dữ liệu khi tìm kiếm không tồn tại</t>
  </si>
  <si>
    <t>1. Đăng nhập Admin 2. Truy cập Quản lý đánh giá 
3. Nhập tên sách không tồn tại</t>
  </si>
  <si>
    <t xml:space="preserve">Hiển thị giá thông báo:"Không tìm thấy sách phù hợp"
Hiển thị danh sách rỗng
</t>
  </si>
  <si>
    <t>FUNC-QLDG10</t>
  </si>
  <si>
    <t>Xác minh cập nhật điểm trung bình khi Ẩn đánh giá</t>
  </si>
  <si>
    <t xml:space="preserve">1. Đăng nhập Admin 2. Click button Ẩn tại đánh giá bất kỳ
</t>
  </si>
  <si>
    <t>Có đánh giá hiển thị</t>
  </si>
  <si>
    <t>Điểm trung bình sách được cập nhật</t>
  </si>
  <si>
    <t>FUNC-QLDG11</t>
  </si>
  <si>
    <t>Xác minh cập nhật điểm trung bình khi Hiển thị đánh giá</t>
  </si>
  <si>
    <t>1. Đăng nhập Admin 
2. Click button Hiển thị</t>
  </si>
  <si>
    <t>Có đánh giá bị Ẩn</t>
  </si>
  <si>
    <t>Điểm trung bình sách được cập nhật lại</t>
  </si>
  <si>
    <t>FUNC-QLDG12</t>
  </si>
  <si>
    <t>Xác minh cập nhật điểm trung bình khi Xóa đánh giá</t>
  </si>
  <si>
    <t>1. Đăng nhập Admin 
2. Xóa đánh giá</t>
  </si>
  <si>
    <t>GUI_SHOW Trang Quản lý đơn hàng</t>
  </si>
  <si>
    <t>GUI-QLDH01</t>
  </si>
  <si>
    <t>[Đơn hàng] menu item</t>
  </si>
  <si>
    <t>Đăng nhập bằng tài khoản admin</t>
  </si>
  <si>
    <t>- Text color: Green
- Status: enable</t>
  </si>
  <si>
    <t>Nguyễn Thị Hồng Nhung</t>
  </si>
  <si>
    <t>GUI-QLDH02</t>
  </si>
  <si>
    <t>[Tên khách hàng...] Input</t>
  </si>
  <si>
    <t>- Text color: Grey
- Status: enable</t>
  </si>
  <si>
    <t>GUI-QLDH03</t>
  </si>
  <si>
    <t>[Trạng thái] Dropdown</t>
  </si>
  <si>
    <t>- Text color: Black
- Status: enable</t>
  </si>
  <si>
    <t>GUI-QLDH04</t>
  </si>
  <si>
    <t>[Icon lịch] Date Picker</t>
  </si>
  <si>
    <t>GUI-QLDH05</t>
  </si>
  <si>
    <t>[Thất bại] Label</t>
  </si>
  <si>
    <t>-Background: Light Red / Text: Red</t>
  </si>
  <si>
    <t>GUI-QLDH06</t>
  </si>
  <si>
    <t>[Đã hủy] Label</t>
  </si>
  <si>
    <t>-Background: Light Green / Text: Dark Green</t>
  </si>
  <si>
    <t>-Background: Light Grey / Text: Grey</t>
  </si>
  <si>
    <t>GUI-QLDH07</t>
  </si>
  <si>
    <t>[Chi tiết] Button</t>
  </si>
  <si>
    <t>-Text color: Black</t>
  </si>
  <si>
    <t>-Text color: Blue</t>
  </si>
  <si>
    <t>FUNCTION_SHOW Trang đăng ký</t>
  </si>
  <si>
    <t>FUNC-QLDH01</t>
  </si>
  <si>
    <t>Kiểm tra tìm kiếm theo Tên khách hàng</t>
  </si>
  <si>
    <t>1. Đăng nhập vào tài khoản Admin
2. Mở bảng điều khiển, vào đơn hàng
3. Nhập tên "Nguyễn Hùng Thắng"</t>
  </si>
  <si>
    <t>Danh sách chỉ hiển thị các đơn hàng của khách hàng có tên tương ứng.</t>
  </si>
  <si>
    <t>Hiển thị danh sách cái đơn hàng có tên Nguyễn Hùng Thắng</t>
  </si>
  <si>
    <t>FUNC-QLDH02</t>
  </si>
  <si>
    <t>Kiểm tra bộ lọc theo Trạng thái</t>
  </si>
  <si>
    <t>1. Đăng nhập vào tài khoản Admin
2. Mở bảng điều khiển, vào đơn hàng
3. Chọn trạng thái "Đã thanh toán"</t>
  </si>
  <si>
    <t>Danh sách chỉ hiển thị đơn hàng có nhãn màu xanh "Đã thanh toán".</t>
  </si>
  <si>
    <t>Hiển thị danh sách các đơn hàng đã thanh toán</t>
  </si>
  <si>
    <t>FUNC-QLDH03</t>
  </si>
  <si>
    <t>Kiểm tra lọc đơn hàng theo khoảng ngày</t>
  </si>
  <si>
    <t>1. Đăng nhập vào tài khoản Admin
2. Mở bảng điều khiển, vào đơn hàng
3. Chọn khoảng ngày 22/04/2026 - 30/04/2026</t>
  </si>
  <si>
    <t>Danh sách lọc đúng các đơn hàng có "Ngày mua" nằm trong khoảng đã chọn.</t>
  </si>
  <si>
    <t>Hiển thị danh sách các đơn hàng trong khoảng ngày từ 22/04 - 30/04</t>
  </si>
  <si>
    <t>FUNC-QLDH04</t>
  </si>
  <si>
    <t>Kiểm tra chức năng xem Chi tiết</t>
  </si>
  <si>
    <t>1. Đăng nhập vào tài khoản Admin
2. Mở bảng điều khiển, vào đơn hàng
3. Nhấn chi tiết của một đơn hàng bất kỳ</t>
  </si>
  <si>
    <t>Hệ thống chuyển hướng sang trang chi tiết đơn hàng hoặc hiển thị Modal chứa thông tin cụ thể (Sách đã mua, địa chỉ nhận hàng...).</t>
  </si>
  <si>
    <t>Hệ thống chuyển sang trang chi tiết đơn hàng</t>
  </si>
  <si>
    <t>FUNC-QLDH05</t>
  </si>
  <si>
    <t>Kiểm tra phân trang (nếu có)</t>
  </si>
  <si>
    <t>1. Đăng nhập vào tài khoản Admin
2. Mở bảng điều khiển, vào đơn hàng
3. Nhấn số 1 2 ... hoặc &lt; &gt; ở góc phải dưới cùng</t>
  </si>
  <si>
    <t>Hệ thống tải và hiển thị danh sách đơn hàng tiếp theo một cách chính xác.</t>
  </si>
  <si>
    <t>Hệ thống tải và hiển thị chính xác danh sách đơn hàng tiếp theo.</t>
  </si>
  <si>
    <t>FUNC-QLDH06</t>
  </si>
  <si>
    <t>Kiểm tra tìm kiếm không có kết quả</t>
  </si>
  <si>
    <t>1. Đăng nhập vào tài khoản Admin
2. Mở bảng điều khiển, vào đơn hàng
3. Nhập tên "Nhung"</t>
  </si>
  <si>
    <t>Hệ thống hiển thị thông báo "Không tìm thấy kết quả" hoặc để trống danh sách.</t>
  </si>
  <si>
    <t>Hệ thống hiển thị bảng trắng</t>
  </si>
  <si>
    <t>FUNC-QLDH07</t>
  </si>
  <si>
    <t>Kiểm tra tính đúng đắn của PTTT (Phương thức thanh toán)</t>
  </si>
  <si>
    <t>1. Đăng nhập vào tài khoản Admin
2. Mở bảng điều khiển, vào đơn hàng
3. Kiểm tra thông tin PTTT đã đúng với đơn hàng của khách hàng</t>
  </si>
  <si>
    <t>Hiển thị đúng loại thanh toán người dùng đã chọn (Ví dụ: VNPAY, COD...).</t>
  </si>
  <si>
    <t>Hiển thị đúng loại thanh toán người dùng đã chọn VNPAY</t>
  </si>
  <si>
    <t>GUI_SHOW Quản lý chương trình giảm giá</t>
  </si>
  <si>
    <t>GUI-QLCTGG01</t>
  </si>
  <si>
    <t>[Chương trình giảm giá] Label</t>
  </si>
  <si>
    <t>GUI-QLCTGG02</t>
  </si>
  <si>
    <t>[Thêm chương trình] Button</t>
  </si>
  <si>
    <t xml:space="preserve"> -Text color : white
 -Status : enable</t>
  </si>
  <si>
    <t xml:space="preserve"> -Text color : white
 -Status : disable</t>
  </si>
  <si>
    <t>GUI-QLCTGG03</t>
  </si>
  <si>
    <t>[Tên chương trình] Textbox</t>
  </si>
  <si>
    <t xml:space="preserve"> -Text color : blue
 -Status : enable</t>
  </si>
  <si>
    <t>GUI-QLCTGG04</t>
  </si>
  <si>
    <t>[Tất cả trạng thái] Dropdown</t>
  </si>
  <si>
    <t>GUI-QLCTGG05</t>
  </si>
  <si>
    <t xml:space="preserve"> -Hiển thị calendar chọn ngày
 -Text color : black
 -Status : enable</t>
  </si>
  <si>
    <t>GUI-QLCTGG06</t>
  </si>
  <si>
    <t>GUI-QLCTGG07</t>
  </si>
  <si>
    <t>[Tên chương trình]label</t>
  </si>
  <si>
    <t>GUI-QLCTGG08</t>
  </si>
  <si>
    <t>[Bắt đầu] label</t>
  </si>
  <si>
    <t>GUI-QLCTGG09</t>
  </si>
  <si>
    <t>[Kết thúc] label</t>
  </si>
  <si>
    <t>GUI-QLCTGG10</t>
  </si>
  <si>
    <t>[Gỉam] label</t>
  </si>
  <si>
    <t>GUI-QLCTGG11</t>
  </si>
  <si>
    <t>[Số sách] label</t>
  </si>
  <si>
    <t>GUI-QLCTGG12</t>
  </si>
  <si>
    <t>[Trạng thái] label</t>
  </si>
  <si>
    <t xml:space="preserve"> -Text color : Green
 -Status : enable</t>
  </si>
  <si>
    <t>GUI-QLCTGG13</t>
  </si>
  <si>
    <t xml:space="preserve"> -Text color : Blue
 -Status : enable</t>
  </si>
  <si>
    <t>GUI-QLCTGG14</t>
  </si>
  <si>
    <t>[Sửa] Button</t>
  </si>
  <si>
    <t xml:space="preserve"> -Text color : Yellow
 -Status : enable</t>
  </si>
  <si>
    <t>GUI-QLCTGG15</t>
  </si>
  <si>
    <t>[Tắt] Button</t>
  </si>
  <si>
    <t>GUI-QLCTGG16</t>
  </si>
  <si>
    <t xml:space="preserve"> -Text color : Red
 -Status : enable</t>
  </si>
  <si>
    <t>GUI-QLCTGG17</t>
  </si>
  <si>
    <t>[Tạo chương trình giảm giá] Label</t>
  </si>
  <si>
    <t>GUI-QLCTGG18</t>
  </si>
  <si>
    <t>[Loại giảm] Dropdown</t>
  </si>
  <si>
    <t>GUI-QLCTGG19</t>
  </si>
  <si>
    <t>[Gía trị giảm] Textbox</t>
  </si>
  <si>
    <t>GUI-QLCTGG20</t>
  </si>
  <si>
    <t>[Hủy]Button</t>
  </si>
  <si>
    <t>GUI-QLCTGG21</t>
  </si>
  <si>
    <t>[Tạo chương trình]Button</t>
  </si>
  <si>
    <t xml:space="preserve"> -Text color : White
 -Status : enable</t>
  </si>
  <si>
    <t>FUNCTION_SHOW Quản lý chương trình giảm giá</t>
  </si>
  <si>
    <t>FUNC-QLCTGG01</t>
  </si>
  <si>
    <t>Xác minh thêm chương trình giảm giá thành công</t>
  </si>
  <si>
    <t>1. Đăng nhập Admin 2. Click “Thêm chương trình” 
3. Nhập tên chương trình 
4. Chọn ngày bắt đầu/kết thúc 
5. Chọn loại giảm % 6. Nhập giá trị giảm 10 
7. Click Tạo chương trình
8. Chọn sách</t>
  </si>
  <si>
    <t>Hiển thị thông báo “Tạo chương trình thành công! Hãy thêm sách”
Cho phép chọn sách giảm giá</t>
  </si>
  <si>
    <t>FUNC-QLCTGG02</t>
  </si>
  <si>
    <t>Xác minh không cho tạo khi bỏ trống tên chương trình</t>
  </si>
  <si>
    <t>1. Đăng nhập Admin 2. Mở form tạo chương trình 
3. Không nhập tên chương trình 
4. Click Tạo chương trình</t>
  </si>
  <si>
    <t xml:space="preserve">Hiển thị thông báo “Tên chương trình không được để trống”
</t>
  </si>
  <si>
    <t>FUNC-QLCTGG03</t>
  </si>
  <si>
    <t>Xác minh không cho tạo khi bỏ trống ngày bắt đầu</t>
  </si>
  <si>
    <t>1. Đăng nhập Admin 2. Mở form tạo chương trình 
3. Không nhập ngày bắt đầu
4. Click Tạo chương trình</t>
  </si>
  <si>
    <t xml:space="preserve">Hiển thị thông báo “Chưa chon ngày bắt đầu”
</t>
  </si>
  <si>
    <t>FUNC-QLCTGG04</t>
  </si>
  <si>
    <t>Xác minh không cho tạo khi bỏ trống ngày kết thúc</t>
  </si>
  <si>
    <t>1. Đăng nhập Admin 2. Mở form tạo chương trình 
3. Không nhập ngày kết thúc
4. Click Tạo chương trình</t>
  </si>
  <si>
    <t xml:space="preserve">Hiển thị thông báo “Chưa chon ngày kết thúc”
</t>
  </si>
  <si>
    <t>FUNC-QLCTGG05</t>
  </si>
  <si>
    <t>Xác minh không cho tạo khi ngày kết thúc nhỏ hơn ngày bắt đầu</t>
  </si>
  <si>
    <t>1. Đăng nhập Admin 2. Nhập thông tin chương trình 
3. Chọn ngày kết thúc nhỏ hơn ngày bắt đầu
4. Click tạo chương trình</t>
  </si>
  <si>
    <t xml:space="preserve">Hiển thị thông báo “Ngày kết thúc phải sau ngày bắt đầu”
</t>
  </si>
  <si>
    <t>FUNC-QLCTGG06</t>
  </si>
  <si>
    <t>Xác minh không cho nhập giá trị giảm lớn hơn 99%</t>
  </si>
  <si>
    <t>1. Đăng nhập Admin 2. Chọn loại giảm phần trăm 
3. Nhập giá trị 100</t>
  </si>
  <si>
    <t xml:space="preserve">Hiển thị thông báo “Phần trăm giảm không được quá 99%”
</t>
  </si>
  <si>
    <t xml:space="preserve">Không hiển thị thông báo
</t>
  </si>
  <si>
    <t>FUNC-QLCTGG07</t>
  </si>
  <si>
    <t xml:space="preserve">Xác minh xem chi tiết chương trình giảm giá </t>
  </si>
  <si>
    <t>1. Đăng nhập Admin 2. Click button Chi tiết</t>
  </si>
  <si>
    <t>Có dữ liệu chương trình</t>
  </si>
  <si>
    <t>Hiển thị trang chi tiết giảm giá</t>
  </si>
  <si>
    <t>FUNC-QLCTGG08</t>
  </si>
  <si>
    <t>Xác minh sửa chương trình giảm giá thành công</t>
  </si>
  <si>
    <t>1. Đăng nhập Admin 2. Click button Sửa 
3. Thay đổi thông tin chương trình 
4. Click lưu thay đổi</t>
  </si>
  <si>
    <t>Hiển thị thông báo “Chương trình cập nhật thành công"</t>
  </si>
  <si>
    <t>FUNC-QLCTGG09</t>
  </si>
  <si>
    <t>Xác minh tắt chương trình giảm giá</t>
  </si>
  <si>
    <t>1. Đăng nhập Admin 2. Click button Tắt</t>
  </si>
  <si>
    <t>Có chương trình đang bật</t>
  </si>
  <si>
    <t>Hiển thị thông báo “Đã tắt trạng thái"
Trạng thái chương trình chuyển sang Tắt</t>
  </si>
  <si>
    <t>FUNC-QLCTGG10</t>
  </si>
  <si>
    <t>Xác minh bật lại chương trình giảm giá</t>
  </si>
  <si>
    <t>1. Đăng nhập Admin 2. Click button bật</t>
  </si>
  <si>
    <t>Có chương trình đang tắt</t>
  </si>
  <si>
    <t>Hiển thị thông báo “Đã bật trạng thái"
Trạng thái chương trình chuyển sang Bật</t>
  </si>
  <si>
    <t>FUNC-QLCTGG11</t>
  </si>
  <si>
    <t>Xác minh xóa chương trình giảm giá thành công</t>
  </si>
  <si>
    <t>1. Đăng nhập Admin 2. Click button Xóa
3.Click OK</t>
  </si>
  <si>
    <t>Chương trình chưa áp dụng</t>
  </si>
  <si>
    <t>Hiển thị thông báo "Đã xóa chương trình"
Chương trình bị xóa khỏi danh sách</t>
  </si>
  <si>
    <t>FUNC-QLCTGG12</t>
  </si>
  <si>
    <t>Xác minh tìm kiếm theo tên chương trình</t>
  </si>
  <si>
    <t>1. Đăng nhập Admin 2. Nhập tên chương trình vào ô tìm kiếm</t>
  </si>
  <si>
    <t>Hiển thị đúng chương trình cần tìm</t>
  </si>
  <si>
    <t>FUNC-QLCTGG13</t>
  </si>
  <si>
    <t>Xác minh lọc theo trạng thái</t>
  </si>
  <si>
    <t>1. Đăng nhập Admin 2. Chọn trạng thái Đang bật</t>
  </si>
  <si>
    <t>Chỉ hiển thị chương trình trạng thái Đang bật</t>
  </si>
  <si>
    <t>Chỉ hiển thị chương trình trạng thái Đang tắt</t>
  </si>
  <si>
    <t>FUNC-QLCTGG14</t>
  </si>
  <si>
    <t>1. Đăng nhập Admin 2. Chọn ngày bắt đầu và ngày kết thúc</t>
  </si>
  <si>
    <t>FUNC-QLCTGG15</t>
  </si>
  <si>
    <t>Xác minh tự động cập nhật giá sách ngoài giao diện người dùng</t>
  </si>
  <si>
    <t>1. Tạo chương trình giảm giá mới 
2. Truy cập trang người dùng</t>
  </si>
  <si>
    <t>Có sách áp dụng giảm giá</t>
  </si>
  <si>
    <t>Giá sách hiển thị đúng giá đã giảm</t>
  </si>
  <si>
    <t>GUI_SHOW Trang Thống kê và báo cáo</t>
  </si>
  <si>
    <t>GUI-TKVBC01</t>
  </si>
  <si>
    <t>[Thống kê] Menu item</t>
  </si>
  <si>
    <t>Đăng nhập vào bằng tài khoản admin</t>
  </si>
  <si>
    <t>GUI-TKVBC02</t>
  </si>
  <si>
    <t>[Thống kê tổng quan] Các thẻ Stats (Thẻ số liệu)</t>
  </si>
  <si>
    <t>- Background: White
- Border: Light Grey
- Số liệu hiển thị nổi bật (Bold)</t>
  </si>
  <si>
    <t>GUI-TKVBC03</t>
  </si>
  <si>
    <t>[Cập nhật dữ liệu] Button</t>
  </si>
  <si>
    <t>- Background: Green
- Text color: White
- Có icon refresh đi kèm</t>
  </si>
  <si>
    <t>GUI-TKVBC04</t>
  </si>
  <si>
    <t>[Từ ngày... Đến ngày...] Date Picker</t>
  </si>
  <si>
    <t>- Border: Grey
- Format: DD/MM/YYYY
- Có icon lịch</t>
  </si>
  <si>
    <t>GUI-TKVBC05</t>
  </si>
  <si>
    <t>[Xem] Button trong bộ lọc</t>
  </si>
  <si>
    <t>- Background: Blue
- Text color: White</t>
  </si>
  <si>
    <t>GUI-TKVBC06</t>
  </si>
  <si>
    <t>[Xuất CSV] Button</t>
  </si>
  <si>
    <t xml:space="preserve">- Border: Green
- Text color: Green
- Background: White </t>
  </si>
  <si>
    <t>GUI-TKVBC07</t>
  </si>
  <si>
    <t>[Doanh thu] Bar Chart</t>
  </si>
  <si>
    <t>- Bar color: Blue
- Trục tọa độ hiển thị rõ ràng</t>
  </si>
  <si>
    <t>GUI-TKVBC08</t>
  </si>
  <si>
    <t>[Người dùng đăng ký mới] Line Chart</t>
  </si>
  <si>
    <t>- Line color: Green
- Có điểm node tại các mốc dữ liệu</t>
  </si>
  <si>
    <t>GUI-TKVBC09</t>
  </si>
  <si>
    <t>[Xem bảng số liệu] Dropdown</t>
  </si>
  <si>
    <t>- Text color: Black
- Có icon mũi tên xuống</t>
  </si>
  <si>
    <t>GUI-TKVBC10</t>
  </si>
  <si>
    <t>[Xuân Diệu] Admin Info Section</t>
  </si>
  <si>
    <t>- Hiển thị Avatar tròn
- Text: Tên người dùng và 'Quản trị viên'</t>
  </si>
  <si>
    <t>GUI-TKVBC11</t>
  </si>
  <si>
    <t>[Top 10 Sách Bán Chạy] Title</t>
  </si>
  <si>
    <t>- Text color: Black</t>
  </si>
  <si>
    <t>GUI-TKVBC12</t>
  </si>
  <si>
    <t>[STT 1] Badge icon</t>
  </si>
  <si>
    <t>- Số 1 nằm chính giữa</t>
  </si>
  <si>
    <t>GUI-TKVBC13</t>
  </si>
  <si>
    <t>[Số lượng bán] Progress Bar</t>
  </si>
  <si>
    <t>- Độ dài thanh khớp với tỷ lệ số lượng bán</t>
  </si>
  <si>
    <t>GUI-TKVBC14</t>
  </si>
  <si>
    <t>[Tỷ lệ sách...] Pie Chart</t>
  </si>
  <si>
    <t>- Biểu đồ hiển thị dạng hình tròn đa sắc
- Các miếng (slice) phân tách rõ ràng</t>
  </si>
  <si>
    <t>GUI-TKVBC15</t>
  </si>
  <si>
    <t>[Chú thích thể loại] Legend</t>
  </si>
  <si>
    <t>- Hiển thị cột danh mục
- Mỗi danh mục có chấm tròn màu tương ứng với biểu đồ</t>
  </si>
  <si>
    <t>GUI-TKVBC16</t>
  </si>
  <si>
    <t>[Doanh thu] Table Text</t>
  </si>
  <si>
    <t>- Text color: Blue
- Định dạng tiền tệ: 120.000 đ</t>
  </si>
  <si>
    <t>GUI-TKVBC17</t>
  </si>
  <si>
    <t>[Hàng dữ liệu] Table Row</t>
  </si>
  <si>
    <t>- Dòng được chọn đổi màu nền nhẹ</t>
  </si>
  <si>
    <t>FUNCTION_SHOW Trang Thống kê và báo cáo</t>
  </si>
  <si>
    <t>FUNC-TKVBC01</t>
  </si>
  <si>
    <t>Kiểm tra hiển thị trang thống kê</t>
  </si>
  <si>
    <t>1. Đăng nhập vào tài khoản Admin
2. Mở bảng điều khiển, vào phần thống kê</t>
  </si>
  <si>
    <t>Hiển thị bảng thông kê</t>
  </si>
  <si>
    <t>Hệ thống hiển thị bảng thống kê</t>
  </si>
  <si>
    <t>FUNC-TKVBC02</t>
  </si>
  <si>
    <t>Kiểm tra chức năng cập nhật dữ liệu</t>
  </si>
  <si>
    <t>1. Đăng nhập vào tài khoản Admin
2. Mở bảng điều khiển, vào phần thống kê
3. Nhấn cập nhật dữ liệu</t>
  </si>
  <si>
    <t>Cập nhật lại dữ liệu mới và thông báo đã cập nhật dữ liệu</t>
  </si>
  <si>
    <t>Hiển thị thông báo: đã làm mới cache. Đang tải lại dữ liệu</t>
  </si>
  <si>
    <t>FUNC-TKVBC03</t>
  </si>
  <si>
    <t>Kiểm tra doanh thu theo ngày/ tuần / tháng</t>
  </si>
  <si>
    <t>1. Đăng nhập vào tài khoản Admin
2. Mở bảng điều khiển, vào phần thống kê
3. Ở mục doanh thu chọn theo tuần.
4. Nhấn xem</t>
  </si>
  <si>
    <t>Hiển thị đồ thị và số liệu theo tuần đã chọn</t>
  </si>
  <si>
    <t>FUNC-TKVBC04</t>
  </si>
  <si>
    <t>Kiểm tra chọn hiển thị số liệu theo ngày bắt đầu - ngày kết thúc</t>
  </si>
  <si>
    <t>1. Đăng nhập vào tài khoản Admin
2. Mở bảng điều khiển, vào phần thống kê
3. Chọn ngày bắt đầu và ngày kết thúc.
4. Nhấn xem</t>
  </si>
  <si>
    <t>Hiển thị đồ thị và số liệu theo khoảng thời gian đã chọn</t>
  </si>
  <si>
    <t>FUNC-TKVBC05</t>
  </si>
  <si>
    <t>Kiểm tra hiển thị và ẩn bảng số liệu của doanh thu</t>
  </si>
  <si>
    <t>1. Đăng nhập vào tài khoản Admin
2. Mở bảng điều khiển, vào phần thống kê
3. Ở mục doanh thu nhấn hiển thị bảng số liệu hoặc ẩn bảng số liệu</t>
  </si>
  <si>
    <t>Khi nhấn hiển thị bảng số liệu, sổ một table chứa các số liệu của doanh thu đã chọn. Khi nhấn ẩn thì ẩn bảng số liệu của doanh thu đã chọn</t>
  </si>
  <si>
    <t>Khi nhấn hiển thị thì sổ ra một bảng số liệu, nhấn ẩn thì ẩn bảng số liệu ấy</t>
  </si>
  <si>
    <t>FUNC-TKVBC06</t>
  </si>
  <si>
    <t>Kiểm tra xuất CSV</t>
  </si>
  <si>
    <t>1. Đăng nhập vào tài khoản Admin
2. Mở bảng điều khiển, vào phần thống kê
3. Nhấn xuất CSV</t>
  </si>
  <si>
    <t xml:space="preserve">Cho phép tải một bản excel về máy </t>
  </si>
  <si>
    <t>Không tải được file</t>
  </si>
  <si>
    <t>FUNC-TKVBC07</t>
  </si>
  <si>
    <t>Kiểm tra số liệu hiển thị khi để con trỏ chuột vào biểu đồ.</t>
  </si>
  <si>
    <t xml:space="preserve">1. Đăng nhập vào tài khoản Admin
2. Mở bảng điều khiển, vào phần thống kê
3. Di chuyển con trỏ chuột vào biểu đồ </t>
  </si>
  <si>
    <t>Hiển thị số liệu khi di chuyển con trỏ chuột vào biểu đồ</t>
  </si>
  <si>
    <t>Không hiển thị số liệu khi di chuyển con trỏ</t>
  </si>
  <si>
    <t>Nâng cấp hội viên</t>
  </si>
  <si>
    <t>GUI_SHOW Nâng cấp hội viên</t>
  </si>
  <si>
    <t>GUI-NCHV01</t>
  </si>
  <si>
    <t>[Nâng cấp hội viên] Label</t>
  </si>
  <si>
    <t>GUI-NCHV02</t>
  </si>
  <si>
    <t>[Giới thiệu] Lable</t>
  </si>
  <si>
    <t>GUI-NCHV03</t>
  </si>
  <si>
    <t>[Hội viên 2026] Label</t>
  </si>
  <si>
    <t>GUI-NCHV04</t>
  </si>
  <si>
    <t>[Gía] Label</t>
  </si>
  <si>
    <t>GUI-NCHV05</t>
  </si>
  <si>
    <t>[Số tháng] Label</t>
  </si>
  <si>
    <t>GUI-NCHV06</t>
  </si>
  <si>
    <t>[Mô tả quyền lợi] Label</t>
  </si>
  <si>
    <t>GUI-NCHV07</t>
  </si>
  <si>
    <t>[Thẻ ATM] Radio Button</t>
  </si>
  <si>
    <t>GUI-NCHV08</t>
  </si>
  <si>
    <t>[Mã QR] Radio Button</t>
  </si>
  <si>
    <t>GUI-NCHV09</t>
  </si>
  <si>
    <t>[Đăng ký ngay] Button</t>
  </si>
  <si>
    <t>GUI-NCHV10</t>
  </si>
  <si>
    <t>[Danh sách quyền lợi] Label</t>
  </si>
  <si>
    <t>GUI-NCHV11</t>
  </si>
  <si>
    <t>[Thanh toán]Form</t>
  </si>
  <si>
    <t>Dữ liệu gói hội viên hiển thị đúng</t>
  </si>
  <si>
    <t>FUNCTION_SHOW Nâng cấp hội viên</t>
  </si>
  <si>
    <t>FUNC-NCHV01</t>
  </si>
  <si>
    <t>Xác minh nâng cấp hội viên thành công bằng Thẻ ATM</t>
  </si>
  <si>
    <t>1. Đăng nhập tài khoản người dùng
2.Click vào 1 sách hội viên 
3. Truy cập trang nâng cấp hội viên 
4. Chọn Thẻ ATM 
5. Click Đăng ký ngay 
6.Click Thanh toán</t>
  </si>
  <si>
    <t>Tài khoản chưa là hội viên</t>
  </si>
  <si>
    <t>Hiển thị thông báo “Đăng ký hội viên thành công”</t>
  </si>
  <si>
    <t>FUNC-NCHV02</t>
  </si>
  <si>
    <t>Xác minh nâng cấp hội viên thành công bằng Mã QR</t>
  </si>
  <si>
    <t>1. Đăng nhập tài khoản người dùng
2.Click vào 1 sách hội viên 
3. Truy cập trang nâng cấp hội viên 
4. Chọn mã QR
5. Click Đăng ký ngay 
6.Click Thanh toán</t>
  </si>
  <si>
    <t>FUNC-NCHV03</t>
  </si>
  <si>
    <t xml:space="preserve">
Xác minh không nâng cấp hội viên khi thanh toán thất bại</t>
  </si>
  <si>
    <t>1. Đăng nhập tài khoản người dùng
2.Click vào 1 sách hội viên 
3. Truy cập trang nâng cấp hội viên 
4. Chọn thẻ ATM
5. Click Đăng ký ngay 
6.Click Hủy thanh toán</t>
  </si>
  <si>
    <t>Hiển thị thông báo thanh toán thất bại</t>
  </si>
  <si>
    <t>FUNC-NCHV04</t>
  </si>
  <si>
    <t>Xác minh người dùng được đọc sách hội viên sau khi nâng cấp</t>
  </si>
  <si>
    <t>1. Đăng ký hội viên thành công 
2. Truy cập sách hội viên</t>
  </si>
  <si>
    <t>Tài khoản đã hội viên</t>
  </si>
  <si>
    <t xml:space="preserve">Người dùng đọc được sách hội viên
</t>
  </si>
  <si>
    <t>FUNC-NCHV05</t>
  </si>
  <si>
    <t>Xác minh người dùng thường không đọc được sách hội viên</t>
  </si>
  <si>
    <t>Hiển thị button nâng cấp hội viên</t>
  </si>
  <si>
    <t>GUI_SHOW Trang Quản lý gói hội viên</t>
  </si>
  <si>
    <t>GUI-QLGHV01</t>
  </si>
  <si>
    <t>[Gói hội viên] menu item</t>
  </si>
  <si>
    <t>GUI-QLGHV02</t>
  </si>
  <si>
    <t>[Tìm theo tên gói...] Input</t>
  </si>
  <si>
    <t>GUI-QLGHV03</t>
  </si>
  <si>
    <t>- Text color: Blue
- Status: enable</t>
  </si>
  <si>
    <t>GUI-QLGHV04</t>
  </si>
  <si>
    <t>- Text color: Yellow
- Status: enable</t>
  </si>
  <si>
    <t>GUI-QLGHV05</t>
  </si>
  <si>
    <t>[+ sách] Button</t>
  </si>
  <si>
    <t>GUI-QLGHV06</t>
  </si>
  <si>
    <t>GUI-QLGHV07</t>
  </si>
  <si>
    <t>- Text color: Red
- Status: enable</t>
  </si>
  <si>
    <t>GUI-QLGHV08</t>
  </si>
  <si>
    <t>[+Thêm gói mới] Button</t>
  </si>
  <si>
    <t>FUNCTION_SHOW Quản lý gói hội viên</t>
  </si>
  <si>
    <t>FUNC-QLGHV01</t>
  </si>
  <si>
    <t>Kiểm tra hiển thị gói hội viên</t>
  </si>
  <si>
    <t>1. Đăng nhập vào tài khoản Admin
2. Mở bảng điều khiển, vào phần gói hội viên</t>
  </si>
  <si>
    <t>Hiển thị danh sách các gói hội viên</t>
  </si>
  <si>
    <t>FUNC-QLGHV02</t>
  </si>
  <si>
    <t>Kiểm tra tìm gói hội viên có trong danh sách</t>
  </si>
  <si>
    <t>1. Đăng nhập vào tài khoản Admin
2. Mở bảng điều khiển, vào phần gói hội viên
3. Nhập tìm gói: hội viên 2026</t>
  </si>
  <si>
    <t>Hiển thị thông tin gói hội viên 2026</t>
  </si>
  <si>
    <t>FUNC-QLGHV03</t>
  </si>
  <si>
    <t>1. Đăng nhập vào tài khoản Admin
2. Mở bảng điều khiển, vào phần gói hội viên
3. Nhập tìm gói: hội viên 2007</t>
  </si>
  <si>
    <t>Hiển thị thông báo không tìm thấy kết quả hoặc bảng trắng</t>
  </si>
  <si>
    <t>Hiển thị bảng trắng</t>
  </si>
  <si>
    <t>FUNC-QLGHV04</t>
  </si>
  <si>
    <t>Kiểm tra chi tiết gói hội viên</t>
  </si>
  <si>
    <t>1. Đăng nhập vào tài khoản Admin
2. Mở bảng điều khiển, vào phần gói hội viên
3. Nhấn chi tiết gói hội viên 2026</t>
  </si>
  <si>
    <t>Hệ thống chuyển hướng sang trang chi tiết gói hoặc hiển thị Modal chứa thông tin cụ thể</t>
  </si>
  <si>
    <t>Hiển thị Modal chứa thông tin của gói</t>
  </si>
  <si>
    <t>FUNC-QLGHV05</t>
  </si>
  <si>
    <t>Kiểm tra nút sửa gói hội viên</t>
  </si>
  <si>
    <t>1. Đăng nhập vào tài khoản Admin
2. Mở bảng điều khiển, vào phần gói hội viên
3. Nhấn sửa gói hội viên 2026</t>
  </si>
  <si>
    <t>Hệ thống chuyển hướng sang trang chỉnh sửa gói hoặc hiển thị Modal chỉnh sửa</t>
  </si>
  <si>
    <t>Hiển thị Modal chỉnh sửa gói hội viên</t>
  </si>
  <si>
    <t>FUNC-QLGHV06</t>
  </si>
  <si>
    <t>Kiểm tra sửa gói hội viên</t>
  </si>
  <si>
    <t>1. Đăng nhập vào tài khoản Admin
2. Mở bảng điều khiển, vào phần gói hội viên
3. Nhấn sửa gói hội viên 2026
4. Nhập thông tin mới ( đổi tên thành hội viên 2027)</t>
  </si>
  <si>
    <t>Hiển thị thông báo cập nhật thành công</t>
  </si>
  <si>
    <t>FUNC-QLGHV07</t>
  </si>
  <si>
    <t>Kiểm tra thay đổi trạng thái</t>
  </si>
  <si>
    <t>1. Đăng nhập vào tài khoản Admin
2. Mở bảng điều khiển, vào phần gói hội viên
3. Nhấn tắt gói hội viên 2027</t>
  </si>
  <si>
    <t>Mục trạng thái chuyển từ đang bật thành đã tắt</t>
  </si>
  <si>
    <t>Mục trạng thái chuyển từ đang bật thành đã tắt và thông báo đã vô hiệu hóa gói.</t>
  </si>
  <si>
    <t>FUNC-QLGHV08</t>
  </si>
  <si>
    <t>Kiểm tra thêm sách vào gói</t>
  </si>
  <si>
    <t>1. Đăng nhập vào tài khoản Admin
2. Mở bảng điều khiển, vào phần gói hội viên
3. Nhấn +sách của gói hội viên 2027</t>
  </si>
  <si>
    <t>Hệ thống chuyển sang trang hoặc Modal thêm sách vào gói. Sau khi chọn và nhấn thêm sách thì sách sẽ được thêm vào gói và hiển thị thông báo thành công.</t>
  </si>
  <si>
    <t>Hiển thị Modal thêm sách vào gói hội viên. Sau khi thêm 1 sách hệ thống hiển thị đã thêm 1 sách</t>
  </si>
  <si>
    <t>FUNC-QLGHV09</t>
  </si>
  <si>
    <t>Kiểm tra thêm gói mới</t>
  </si>
  <si>
    <t>1. Đăng nhập vào tài khoản Admin
2. Mở bảng điều khiển, vào phần gói hội viên
3. Nhấn + thêm gói mới</t>
  </si>
  <si>
    <t>Hệ thống chuyển sang trang hoặc Modal thêm gói mới. Sau khi nhập đầy đủ thông tin và nhấn tạo gói, hiển thị thông báo đã tạo gói mới và hiển thị gói đã tạo vào trong table</t>
  </si>
  <si>
    <t>Hiển thị Modal thêm gói mới. Sau khi nhập đầy đủ thông tin và nhấn tạo gói, hiển thị thông báo đã tạo gói mới và hiển thị gói đã tạo vào trong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</si>
</sst>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d\-mmm\-yy;@"/>
  </numFmts>
  <fonts count="24">
    <font>
      <sz val="11"/>
      <color theme="1"/>
      <name val="Calibri"/>
      <charset val="134"/>
      <scheme val="minor"/>
    </font>
    <font>
      <sz val="13"/>
      <name val="Times New Roman"/>
      <charset val="134"/>
    </font>
    <font>
      <sz val="13"/>
      <color theme="1"/>
      <name val="Times New Roman"/>
      <charset val="134"/>
    </font>
    <font>
      <b/>
      <sz val="13"/>
      <color rgb="FFFFFFFF"/>
      <name val="Times New Roman"/>
      <charset val="134"/>
    </font>
    <font>
      <b/>
      <sz val="13"/>
      <name val="Times New Roman"/>
      <charset val="134"/>
    </font>
    <font>
      <b/>
      <sz val="13"/>
      <color indexed="9"/>
      <name val="Times New Roman"/>
      <charset val="134"/>
    </font>
    <font>
      <sz val="13"/>
      <color indexed="63"/>
      <name val="Times New Roman"/>
      <charset val="134"/>
    </font>
    <font>
      <sz val="13"/>
      <color indexed="8"/>
      <name val="Times New Roman"/>
      <charset val="134"/>
    </font>
    <font>
      <sz val="13"/>
      <color rgb="FF000000"/>
      <name val="Times New Roman"/>
      <charset val="134"/>
    </font>
    <font>
      <sz val="13"/>
      <color rgb="FF00000A"/>
      <name val="Times New Roman"/>
      <charset val="134"/>
    </font>
    <font>
      <sz val="13"/>
      <name val="Times New Roman"/>
      <charset val="134"/>
    </font>
    <font>
      <sz val="13"/>
      <color theme="1"/>
      <name val="Times New Roman"/>
      <charset val="134"/>
    </font>
    <font>
      <b/>
      <sz val="13"/>
      <color rgb="FFFFFFFF"/>
      <name val="Times New Roman"/>
      <charset val="134"/>
    </font>
    <font>
      <b/>
      <sz val="13"/>
      <name val="Times New Roman"/>
      <charset val="134"/>
    </font>
    <font>
      <b/>
      <sz val="13"/>
      <color indexed="9"/>
      <name val="Times New Roman"/>
      <charset val="134"/>
    </font>
    <font>
      <sz val="13"/>
      <color indexed="63"/>
      <name val="Times New Roman"/>
      <charset val="134"/>
    </font>
    <font>
      <sz val="13"/>
      <color indexed="8"/>
      <name val="Times New Roman"/>
      <charset val="134"/>
    </font>
    <font>
      <sz val="13"/>
      <color rgb="FF000000"/>
      <name val="Times New Roman"/>
      <charset val="134"/>
    </font>
    <font>
      <sz val="13"/>
      <color rgb="FF00000A"/>
      <name val="Times New Roman"/>
      <charset val="134"/>
    </font>
    <font>
      <sz val="13"/>
      <color rgb="FFFFFFFF"/>
      <name val="Times New Roman"/>
      <charset val="134"/>
    </font>
    <font>
      <sz val="13"/>
      <color indexed="9"/>
      <name val="Times New Roman"/>
      <charset val="134"/>
    </font>
    <font>
      <b/>
      <sz val="13"/>
      <color theme="1"/>
      <name val="Times New Roman"/>
      <charset val="134"/>
    </font>
    <font>
      <sz val="10"/>
      <name val="Arial2"/>
      <charset val="134"/>
    </font>
    <font>
      <sz val="11"/>
      <name val="ＭＳ Ｐゴシック"/>
      <charset val="134"/>
    </font>
  </fonts>
  <fills count="13">
    <fill>
      <patternFill patternType="none"/>
    </fill>
    <fill>
      <patternFill patternType="gray125"/>
    </fill>
    <fill>
      <patternFill patternType="solid">
        <fgColor rgb="FF008080"/>
        <bgColor rgb="FF008080"/>
      </patternFill>
    </fill>
    <fill>
      <patternFill patternType="solid">
        <fgColor indexed="21"/>
        <bgColor indexed="38"/>
      </patternFill>
    </fill>
    <fill>
      <patternFill patternType="solid">
        <fgColor indexed="27"/>
        <bgColor indexed="41"/>
      </patternFill>
    </fill>
    <fill>
      <patternFill patternType="solid">
        <fgColor indexed="9"/>
        <bgColor indexed="26"/>
      </patternFill>
    </fill>
    <fill>
      <patternFill patternType="solid">
        <fgColor rgb="FF00B050"/>
        <bgColor indexed="64"/>
      </patternFill>
    </fill>
    <fill>
      <patternFill patternType="solid">
        <fgColor rgb="FFFF0000"/>
        <bgColor indexed="64"/>
      </patternFill>
    </fill>
    <fill>
      <patternFill patternType="solid">
        <fgColor theme="9" tint="-0.249977111117893"/>
        <bgColor indexed="64"/>
      </patternFill>
    </fill>
    <fill>
      <patternFill patternType="solid">
        <fgColor rgb="FFFFFFFF"/>
        <bgColor rgb="FFFFFFCC"/>
      </patternFill>
    </fill>
    <fill>
      <patternFill patternType="solid">
        <fgColor rgb="FF00B050"/>
        <bgColor rgb="FF000000"/>
      </patternFill>
    </fill>
    <fill>
      <patternFill patternType="solid">
        <fgColor rgb="FFFF0000"/>
        <bgColor rgb="FF000000"/>
      </patternFill>
    </fill>
    <fill>
      <patternFill patternType="solid">
        <fgColor theme="0"/>
        <bgColor indexed="38"/>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s>
  <cellStyleXfs count="3">
    <xf numFmtId="0" fontId="0" fillId="0" borderId="0">
      <alignment vertical="center"/>
    </xf>
    <xf numFmtId="0" fontId="22" fillId="0" borderId="0" applyBorder="0" applyProtection="0">
      <alignment vertical="center"/>
    </xf>
    <xf numFmtId="0" fontId="23" fillId="0" borderId="0"/>
  </cellStyleXfs>
  <cellXfs count="145">
    <xf numFmtId="0" fontId="0" fillId="0" borderId="0" xfId="0">
      <alignment vertical="center"/>
    </xf>
    <xf numFmtId="0" fontId="1" fillId="0" borderId="0" xfId="0" applyFont="1" applyAlignment="1"/>
    <xf numFmtId="0" fontId="2" fillId="0" borderId="0" xfId="0" applyFont="1" applyAlignment="1"/>
    <xf numFmtId="0" fontId="3" fillId="2" borderId="1" xfId="0" applyFont="1" applyFill="1" applyBorder="1" applyAlignment="1">
      <alignment vertical="center" wrapText="1"/>
    </xf>
    <xf numFmtId="0" fontId="1" fillId="0" borderId="0" xfId="0" applyFont="1" applyAlignment="1">
      <alignment horizontal="center" vertical="top"/>
    </xf>
    <xf numFmtId="166" fontId="1" fillId="0" borderId="0" xfId="0" applyNumberFormat="1" applyFont="1" applyAlignment="1"/>
    <xf numFmtId="0" fontId="1" fillId="0" borderId="1" xfId="0" applyFont="1" applyBorder="1" applyAlignment="1">
      <alignment vertical="center" wrapText="1"/>
    </xf>
    <xf numFmtId="0" fontId="5" fillId="3" borderId="1" xfId="0" applyFont="1" applyFill="1" applyBorder="1" applyAlignment="1">
      <alignment horizontal="center" vertical="center" wrapText="1"/>
    </xf>
    <xf numFmtId="0" fontId="4" fillId="0" borderId="1" xfId="0" applyFont="1" applyBorder="1" applyAlignment="1">
      <alignment vertical="center" wrapText="1"/>
    </xf>
    <xf numFmtId="0" fontId="1" fillId="0" borderId="1" xfId="1" applyFont="1" applyBorder="1" applyAlignment="1" applyProtection="1">
      <alignment horizontal="center" vertical="center" wrapText="1"/>
    </xf>
    <xf numFmtId="0" fontId="1" fillId="0" borderId="1" xfId="0" applyFont="1" applyBorder="1" applyAlignment="1">
      <alignment horizontal="right" vertical="center" wrapText="1"/>
    </xf>
    <xf numFmtId="166" fontId="1" fillId="0" borderId="0" xfId="0" applyNumberFormat="1" applyFont="1" applyAlignment="1">
      <alignment wrapText="1"/>
    </xf>
    <xf numFmtId="0" fontId="1" fillId="0" borderId="0" xfId="0" applyFont="1" applyAlignment="1">
      <alignment wrapText="1"/>
    </xf>
    <xf numFmtId="0" fontId="4" fillId="0" borderId="0" xfId="0" applyFont="1" applyAlignment="1">
      <alignment vertical="center" wrapText="1"/>
    </xf>
    <xf numFmtId="0" fontId="1" fillId="0" borderId="0" xfId="1" applyFont="1" applyBorder="1" applyAlignment="1" applyProtection="1">
      <alignment horizontal="center" vertical="center" wrapText="1"/>
    </xf>
    <xf numFmtId="0" fontId="1" fillId="0" borderId="0" xfId="0" applyFont="1" applyAlignment="1">
      <alignment vertical="center" wrapText="1"/>
    </xf>
    <xf numFmtId="0" fontId="1" fillId="0" borderId="0" xfId="0" applyFont="1" applyAlignment="1">
      <alignment horizontal="right" vertical="center" wrapText="1"/>
    </xf>
    <xf numFmtId="0" fontId="4" fillId="0" borderId="0" xfId="0" applyFont="1" applyAlignment="1"/>
    <xf numFmtId="0" fontId="6" fillId="0" borderId="0" xfId="0" applyFont="1" applyAlignment="1"/>
    <xf numFmtId="0" fontId="1" fillId="0" borderId="0" xfId="0" applyFont="1" applyAlignment="1">
      <alignment horizontal="left" vertical="top" wrapText="1"/>
    </xf>
    <xf numFmtId="0" fontId="5" fillId="3" borderId="1" xfId="0" applyFont="1" applyFill="1" applyBorder="1" applyAlignment="1">
      <alignment horizontal="center" vertical="top" wrapText="1"/>
    </xf>
    <xf numFmtId="166" fontId="5" fillId="3" borderId="1" xfId="0" applyNumberFormat="1" applyFont="1" applyFill="1" applyBorder="1" applyAlignment="1">
      <alignment horizontal="center" vertical="center" wrapText="1"/>
    </xf>
    <xf numFmtId="0" fontId="1" fillId="5" borderId="1" xfId="2"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0" borderId="1" xfId="0" applyFont="1" applyBorder="1">
      <alignment vertical="center"/>
    </xf>
    <xf numFmtId="0" fontId="7" fillId="5" borderId="1" xfId="0" applyFont="1" applyFill="1" applyBorder="1" applyAlignment="1">
      <alignment horizontal="left" vertical="center" wrapText="1"/>
    </xf>
    <xf numFmtId="0" fontId="1" fillId="6" borderId="1" xfId="0" applyFont="1" applyFill="1" applyBorder="1" applyAlignment="1">
      <alignment horizontal="center" vertical="center"/>
    </xf>
    <xf numFmtId="14" fontId="8" fillId="0" borderId="1" xfId="0" applyNumberFormat="1" applyFont="1" applyBorder="1" applyAlignment="1">
      <alignment horizontal="center" vertical="center"/>
    </xf>
    <xf numFmtId="0" fontId="9" fillId="0" borderId="1" xfId="0" applyFont="1" applyBorder="1" applyAlignment="1">
      <alignment horizontal="center" vertical="center"/>
    </xf>
    <xf numFmtId="0" fontId="1" fillId="0" borderId="1" xfId="0" applyFont="1" applyBorder="1" applyAlignment="1">
      <alignment horizontal="center" vertical="center"/>
    </xf>
    <xf numFmtId="0" fontId="1" fillId="5" borderId="0" xfId="0" applyFont="1" applyFill="1" applyAlignment="1">
      <alignment horizontal="left" vertical="center" wrapText="1"/>
    </xf>
    <xf numFmtId="0" fontId="1" fillId="0" borderId="0" xfId="0" applyFont="1">
      <alignment vertical="center"/>
    </xf>
    <xf numFmtId="0" fontId="1" fillId="0" borderId="0" xfId="0" applyFont="1" applyAlignment="1">
      <alignment horizontal="left" vertical="center" wrapText="1"/>
    </xf>
    <xf numFmtId="0" fontId="1" fillId="0" borderId="0" xfId="0" applyFont="1" applyAlignment="1">
      <alignment horizontal="center" vertical="center"/>
    </xf>
    <xf numFmtId="14" fontId="8" fillId="0" borderId="0" xfId="0" applyNumberFormat="1" applyFont="1" applyAlignment="1">
      <alignment horizontal="center" vertical="center"/>
    </xf>
    <xf numFmtId="0" fontId="9" fillId="0" borderId="0" xfId="0" applyFont="1" applyAlignment="1">
      <alignment horizontal="center" vertical="center"/>
    </xf>
    <xf numFmtId="0" fontId="10" fillId="0" borderId="0" xfId="0" applyFont="1" applyAlignment="1"/>
    <xf numFmtId="0" fontId="11" fillId="0" borderId="0" xfId="0" applyFont="1" applyAlignment="1"/>
    <xf numFmtId="0" fontId="12" fillId="2" borderId="1" xfId="0" applyFont="1" applyFill="1" applyBorder="1" applyAlignment="1">
      <alignment vertical="center" wrapText="1"/>
    </xf>
    <xf numFmtId="0" fontId="10" fillId="0" borderId="0" xfId="0" applyFont="1" applyAlignment="1">
      <alignment horizontal="center" vertical="top"/>
    </xf>
    <xf numFmtId="166" fontId="10" fillId="0" borderId="0" xfId="0" applyNumberFormat="1" applyFont="1" applyAlignment="1"/>
    <xf numFmtId="0" fontId="10" fillId="0" borderId="1" xfId="0" applyFont="1" applyBorder="1" applyAlignment="1">
      <alignment vertical="center" wrapText="1"/>
    </xf>
    <xf numFmtId="0" fontId="14" fillId="3" borderId="1" xfId="0" applyFont="1" applyFill="1" applyBorder="1" applyAlignment="1">
      <alignment horizontal="center" vertical="center" wrapText="1"/>
    </xf>
    <xf numFmtId="0" fontId="13" fillId="0" borderId="1" xfId="0" applyFont="1" applyBorder="1" applyAlignment="1">
      <alignment vertical="center" wrapText="1"/>
    </xf>
    <xf numFmtId="0" fontId="10" fillId="0" borderId="1" xfId="1" applyFont="1" applyBorder="1" applyAlignment="1" applyProtection="1">
      <alignment horizontal="center" vertical="center" wrapText="1"/>
    </xf>
    <xf numFmtId="0" fontId="10" fillId="0" borderId="1" xfId="0" applyFont="1" applyBorder="1" applyAlignment="1">
      <alignment horizontal="right" vertical="center" wrapText="1"/>
    </xf>
    <xf numFmtId="0" fontId="13" fillId="0" borderId="0" xfId="0" applyFont="1" applyAlignment="1">
      <alignment vertical="center" wrapText="1"/>
    </xf>
    <xf numFmtId="0" fontId="10" fillId="0" borderId="0" xfId="1" applyFont="1" applyBorder="1" applyAlignment="1" applyProtection="1">
      <alignment horizontal="center" vertical="center" wrapText="1"/>
    </xf>
    <xf numFmtId="0" fontId="10" fillId="0" borderId="0" xfId="0" applyFont="1" applyAlignment="1">
      <alignment vertical="center" wrapText="1"/>
    </xf>
    <xf numFmtId="0" fontId="10" fillId="0" borderId="0" xfId="0" applyFont="1" applyAlignment="1">
      <alignment horizontal="right" vertical="center" wrapText="1"/>
    </xf>
    <xf numFmtId="0" fontId="13" fillId="0" borderId="0" xfId="0" applyFont="1" applyAlignment="1"/>
    <xf numFmtId="0" fontId="15" fillId="0" borderId="0" xfId="0" applyFont="1" applyAlignment="1"/>
    <xf numFmtId="0" fontId="10" fillId="0" borderId="0" xfId="0" applyFont="1" applyAlignment="1">
      <alignment horizontal="left" vertical="top" wrapText="1"/>
    </xf>
    <xf numFmtId="0" fontId="14" fillId="3" borderId="1" xfId="0" applyFont="1" applyFill="1" applyBorder="1" applyAlignment="1">
      <alignment horizontal="center" vertical="top" wrapText="1"/>
    </xf>
    <xf numFmtId="166" fontId="14" fillId="3" borderId="1" xfId="0" applyNumberFormat="1" applyFont="1" applyFill="1" applyBorder="1" applyAlignment="1">
      <alignment horizontal="center" vertical="center" wrapText="1"/>
    </xf>
    <xf numFmtId="0" fontId="10" fillId="5" borderId="1" xfId="0" applyFont="1" applyFill="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10" fillId="0" borderId="2" xfId="0" applyFont="1" applyBorder="1" applyAlignment="1">
      <alignment horizontal="left" vertical="center" wrapText="1"/>
    </xf>
    <xf numFmtId="0" fontId="16" fillId="5" borderId="1" xfId="0" applyFont="1" applyFill="1" applyBorder="1" applyAlignment="1">
      <alignment horizontal="left" vertical="top" wrapText="1"/>
    </xf>
    <xf numFmtId="14" fontId="10" fillId="0" borderId="1" xfId="0" applyNumberFormat="1" applyFont="1" applyBorder="1" applyAlignment="1">
      <alignment horizontal="center" vertical="top" wrapText="1"/>
    </xf>
    <xf numFmtId="0" fontId="10" fillId="0" borderId="1" xfId="0" applyFont="1" applyBorder="1" applyAlignment="1">
      <alignment horizontal="center" vertical="top" wrapText="1"/>
    </xf>
    <xf numFmtId="0" fontId="13" fillId="0" borderId="1" xfId="0" applyFont="1" applyBorder="1" applyAlignment="1">
      <alignment horizontal="left" vertical="top" wrapText="1"/>
    </xf>
    <xf numFmtId="14" fontId="17" fillId="0" borderId="1" xfId="0" applyNumberFormat="1" applyFont="1" applyBorder="1" applyAlignment="1">
      <alignment horizontal="left" vertical="top" wrapText="1"/>
    </xf>
    <xf numFmtId="0" fontId="18" fillId="0" borderId="1" xfId="0" applyFont="1" applyBorder="1" applyAlignment="1">
      <alignment horizontal="left" vertical="top" wrapText="1"/>
    </xf>
    <xf numFmtId="0" fontId="10" fillId="0" borderId="1" xfId="0" applyFont="1" applyBorder="1" applyAlignment="1">
      <alignment vertical="top" wrapText="1"/>
    </xf>
    <xf numFmtId="0" fontId="18" fillId="0" borderId="1" xfId="0" applyFont="1" applyBorder="1" applyAlignment="1">
      <alignment horizontal="center" vertical="top" wrapText="1"/>
    </xf>
    <xf numFmtId="14" fontId="17" fillId="0" borderId="1" xfId="0" applyNumberFormat="1" applyFont="1" applyBorder="1" applyAlignment="1">
      <alignment horizontal="center" vertical="top" wrapText="1"/>
    </xf>
    <xf numFmtId="0" fontId="11" fillId="0" borderId="1" xfId="0" applyFont="1" applyBorder="1" applyAlignment="1">
      <alignment vertical="top" wrapText="1"/>
    </xf>
    <xf numFmtId="0" fontId="10" fillId="0" borderId="0" xfId="0" applyFont="1" applyAlignment="1">
      <alignment wrapText="1"/>
    </xf>
    <xf numFmtId="0" fontId="11" fillId="0" borderId="0" xfId="0" applyFont="1" applyAlignment="1">
      <alignment wrapText="1"/>
    </xf>
    <xf numFmtId="0" fontId="19" fillId="2" borderId="1" xfId="0" applyFont="1" applyFill="1" applyBorder="1" applyAlignment="1">
      <alignment vertical="center" wrapText="1"/>
    </xf>
    <xf numFmtId="0" fontId="20" fillId="3" borderId="1" xfId="0" applyFont="1" applyFill="1" applyBorder="1" applyAlignment="1">
      <alignment horizontal="center" vertical="center" wrapText="1"/>
    </xf>
    <xf numFmtId="0" fontId="20" fillId="3" borderId="1" xfId="0" applyFont="1" applyFill="1" applyBorder="1" applyAlignment="1">
      <alignment horizontal="center" vertical="top" wrapText="1"/>
    </xf>
    <xf numFmtId="166" fontId="20" fillId="3" borderId="1" xfId="0" applyNumberFormat="1" applyFont="1" applyFill="1" applyBorder="1" applyAlignment="1">
      <alignment horizontal="center" vertical="center" wrapText="1"/>
    </xf>
    <xf numFmtId="0" fontId="1" fillId="5" borderId="1" xfId="2" applyFont="1" applyFill="1" applyBorder="1" applyAlignment="1">
      <alignment horizontal="left" vertical="center"/>
    </xf>
    <xf numFmtId="0" fontId="1" fillId="5" borderId="1" xfId="0" applyFont="1" applyFill="1" applyBorder="1" applyAlignment="1">
      <alignment horizontal="left" vertical="center"/>
    </xf>
    <xf numFmtId="0" fontId="1" fillId="0" borderId="1" xfId="0" applyFont="1" applyBorder="1" applyAlignment="1">
      <alignment horizontal="left" vertical="center"/>
    </xf>
    <xf numFmtId="0" fontId="1" fillId="8" borderId="1" xfId="0" applyFont="1" applyFill="1" applyBorder="1" applyAlignment="1">
      <alignment horizontal="center" vertical="center"/>
    </xf>
    <xf numFmtId="0" fontId="10" fillId="0" borderId="2" xfId="0" applyFont="1" applyBorder="1" applyAlignment="1">
      <alignment vertical="center" wrapText="1"/>
    </xf>
    <xf numFmtId="0" fontId="13" fillId="0" borderId="1" xfId="0" applyFont="1" applyBorder="1" applyAlignment="1">
      <alignment vertical="top" wrapText="1"/>
    </xf>
    <xf numFmtId="0" fontId="11" fillId="0" borderId="1" xfId="0" applyFont="1" applyBorder="1" applyAlignment="1">
      <alignment vertical="top"/>
    </xf>
    <xf numFmtId="0" fontId="2" fillId="0" borderId="0" xfId="0" applyFont="1" applyAlignment="1">
      <alignment wrapText="1"/>
    </xf>
    <xf numFmtId="0" fontId="10" fillId="9" borderId="1" xfId="0" applyFont="1" applyFill="1" applyBorder="1" applyAlignment="1">
      <alignment horizontal="left" vertical="center" wrapText="1"/>
    </xf>
    <xf numFmtId="0" fontId="10" fillId="9" borderId="2" xfId="0" applyFont="1" applyFill="1" applyBorder="1" applyAlignment="1">
      <alignment horizontal="left" vertical="center" wrapText="1"/>
    </xf>
    <xf numFmtId="0" fontId="10" fillId="0" borderId="2" xfId="0" applyFont="1" applyBorder="1">
      <alignment vertical="center"/>
    </xf>
    <xf numFmtId="0" fontId="17" fillId="9" borderId="2" xfId="0" applyFont="1" applyFill="1" applyBorder="1" applyAlignment="1">
      <alignment horizontal="left" vertical="center" wrapText="1"/>
    </xf>
    <xf numFmtId="14" fontId="17" fillId="0" borderId="2" xfId="0" applyNumberFormat="1" applyFont="1" applyBorder="1" applyAlignment="1">
      <alignment horizontal="center" vertical="center"/>
    </xf>
    <xf numFmtId="0" fontId="18" fillId="0" borderId="2" xfId="0" applyFont="1" applyBorder="1" applyAlignment="1">
      <alignment horizontal="center" vertical="center"/>
    </xf>
    <xf numFmtId="0" fontId="10" fillId="9" borderId="3" xfId="0" applyFont="1" applyFill="1" applyBorder="1" applyAlignment="1">
      <alignment horizontal="left" vertical="center" wrapText="1"/>
    </xf>
    <xf numFmtId="0" fontId="10" fillId="0" borderId="3" xfId="0" applyFont="1" applyBorder="1">
      <alignment vertical="center"/>
    </xf>
    <xf numFmtId="0" fontId="18" fillId="0" borderId="3" xfId="0" applyFont="1" applyBorder="1" applyAlignment="1">
      <alignment horizontal="center" vertical="center"/>
    </xf>
    <xf numFmtId="0" fontId="17" fillId="9" borderId="3" xfId="0" applyFont="1" applyFill="1" applyBorder="1" applyAlignment="1">
      <alignment horizontal="left" vertical="center" wrapText="1"/>
    </xf>
    <xf numFmtId="0" fontId="10" fillId="0" borderId="1" xfId="0" applyFont="1" applyBorder="1">
      <alignment vertical="center"/>
    </xf>
    <xf numFmtId="0" fontId="10" fillId="0" borderId="4" xfId="0" applyFont="1" applyBorder="1">
      <alignment vertical="center"/>
    </xf>
    <xf numFmtId="0" fontId="10" fillId="11" borderId="3" xfId="0" applyFont="1" applyFill="1" applyBorder="1" applyAlignment="1">
      <alignment horizontal="center" vertical="center"/>
    </xf>
    <xf numFmtId="0" fontId="10" fillId="0" borderId="2" xfId="0" applyFont="1" applyBorder="1" applyAlignment="1">
      <alignment horizontal="center" vertical="center"/>
    </xf>
    <xf numFmtId="0" fontId="21" fillId="3" borderId="1" xfId="0" applyFont="1" applyFill="1" applyBorder="1" applyAlignment="1">
      <alignment horizontal="center" vertical="center"/>
    </xf>
    <xf numFmtId="0" fontId="21" fillId="3" borderId="1" xfId="0" applyFont="1" applyFill="1" applyBorder="1" applyAlignment="1">
      <alignment horizontal="center" vertical="top"/>
    </xf>
    <xf numFmtId="0" fontId="2" fillId="12" borderId="1" xfId="0" applyFont="1" applyFill="1" applyBorder="1" applyAlignment="1">
      <alignment horizontal="center" vertical="center"/>
    </xf>
    <xf numFmtId="0" fontId="2" fillId="12" borderId="1" xfId="0" applyFont="1" applyFill="1" applyBorder="1" applyAlignment="1">
      <alignment horizontal="left" vertical="top"/>
    </xf>
    <xf numFmtId="0" fontId="2" fillId="12" borderId="1" xfId="0" applyFont="1" applyFill="1" applyBorder="1" applyAlignment="1">
      <alignment horizontal="left" vertical="top" wrapText="1"/>
    </xf>
    <xf numFmtId="0" fontId="2" fillId="0" borderId="4" xfId="0" applyFont="1" applyBorder="1" applyAlignment="1">
      <alignment horizontal="center" vertical="center"/>
    </xf>
    <xf numFmtId="0" fontId="2" fillId="0" borderId="4" xfId="0" applyFont="1" applyBorder="1" applyAlignment="1">
      <alignment horizontal="left" vertical="center" wrapText="1"/>
    </xf>
    <xf numFmtId="0" fontId="2" fillId="0" borderId="1" xfId="0" applyFont="1" applyBorder="1" applyAlignment="1">
      <alignment vertical="top" wrapText="1"/>
    </xf>
    <xf numFmtId="0" fontId="2" fillId="0" borderId="1" xfId="0" applyFont="1" applyBorder="1" applyAlignment="1">
      <alignment horizontal="center" vertical="center"/>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7" fillId="5" borderId="1" xfId="0" quotePrefix="1" applyFont="1" applyFill="1" applyBorder="1" applyAlignment="1">
      <alignment horizontal="left" vertical="center" wrapText="1"/>
    </xf>
    <xf numFmtId="0" fontId="1" fillId="0" borderId="1" xfId="0" quotePrefix="1" applyFont="1" applyBorder="1" applyAlignment="1">
      <alignment vertical="center" wrapText="1"/>
    </xf>
    <xf numFmtId="0" fontId="1" fillId="0" borderId="1" xfId="0" quotePrefix="1" applyFont="1" applyBorder="1" applyAlignment="1">
      <alignment horizontal="left" vertical="center" wrapText="1"/>
    </xf>
    <xf numFmtId="0" fontId="21" fillId="0" borderId="1" xfId="0" applyFont="1" applyBorder="1" applyAlignment="1">
      <alignment horizontal="center" vertical="center" wrapText="1"/>
    </xf>
    <xf numFmtId="0" fontId="21" fillId="0" borderId="1" xfId="0" applyFont="1" applyBorder="1" applyAlignment="1">
      <alignment horizontal="center" vertical="center"/>
    </xf>
    <xf numFmtId="0" fontId="13" fillId="0" borderId="1" xfId="0" applyFont="1" applyBorder="1" applyAlignment="1">
      <alignment horizontal="left" vertical="center" wrapText="1"/>
    </xf>
    <xf numFmtId="0" fontId="10" fillId="0" borderId="1" xfId="0" applyFont="1" applyBorder="1" applyAlignment="1">
      <alignment horizontal="left" vertical="center" wrapText="1"/>
    </xf>
    <xf numFmtId="0" fontId="14" fillId="3" borderId="1" xfId="0" applyFont="1" applyFill="1" applyBorder="1" applyAlignment="1">
      <alignment horizontal="center" vertical="center" wrapText="1"/>
    </xf>
    <xf numFmtId="0" fontId="13" fillId="4" borderId="1" xfId="0" applyFont="1" applyFill="1" applyBorder="1">
      <alignment vertical="center"/>
    </xf>
    <xf numFmtId="0" fontId="13" fillId="4" borderId="1" xfId="0" applyFont="1" applyFill="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4" fillId="4" borderId="1" xfId="0" applyFont="1" applyFill="1" applyBorder="1">
      <alignment vertical="center"/>
    </xf>
    <xf numFmtId="0" fontId="4" fillId="4" borderId="1" xfId="0" applyFont="1" applyFill="1" applyBorder="1" applyAlignment="1">
      <alignment vertical="center" wrapText="1"/>
    </xf>
    <xf numFmtId="0" fontId="4" fillId="4" borderId="1" xfId="0" applyFont="1" applyFill="1" applyBorder="1" applyAlignment="1">
      <alignment horizontal="left" vertical="center"/>
    </xf>
    <xf numFmtId="0" fontId="4" fillId="4" borderId="1" xfId="0" applyFont="1" applyFill="1" applyBorder="1" applyAlignment="1">
      <alignment horizontal="left" vertical="center" wrapText="1"/>
    </xf>
    <xf numFmtId="0" fontId="20" fillId="3" borderId="1" xfId="0" applyFont="1" applyFill="1" applyBorder="1" applyAlignment="1">
      <alignment horizontal="center" vertical="center" wrapText="1"/>
    </xf>
    <xf numFmtId="0" fontId="1" fillId="4" borderId="1" xfId="0" applyFont="1" applyFill="1" applyBorder="1">
      <alignment vertical="center"/>
    </xf>
    <xf numFmtId="0" fontId="1" fillId="4" borderId="1" xfId="0" applyFont="1" applyFill="1" applyBorder="1" applyAlignment="1">
      <alignment horizontal="left" vertical="center"/>
    </xf>
    <xf numFmtId="0" fontId="1" fillId="10" borderId="2" xfId="0" applyFont="1" applyFill="1" applyBorder="1" applyAlignment="1">
      <alignment horizontal="center" vertical="center"/>
    </xf>
    <xf numFmtId="0" fontId="1" fillId="10" borderId="3" xfId="0" applyFont="1" applyFill="1" applyBorder="1" applyAlignment="1">
      <alignment horizontal="center" vertical="center"/>
    </xf>
    <xf numFmtId="0" fontId="10" fillId="6"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0" fillId="7"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6" borderId="4" xfId="0" applyFont="1" applyFill="1" applyBorder="1" applyAlignment="1">
      <alignment horizontal="center" vertical="center"/>
    </xf>
    <xf numFmtId="0" fontId="1" fillId="5" borderId="1" xfId="0" applyFont="1" applyFill="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10" fillId="0" borderId="1" xfId="0" applyFont="1" applyBorder="1" applyAlignment="1">
      <alignment horizontal="center" vertical="center" wrapText="1"/>
    </xf>
    <xf numFmtId="14" fontId="10" fillId="0" borderId="1" xfId="0" applyNumberFormat="1" applyFont="1" applyBorder="1" applyAlignment="1">
      <alignment horizontal="center" vertical="center" wrapText="1"/>
    </xf>
    <xf numFmtId="14" fontId="17" fillId="0" borderId="1" xfId="0" applyNumberFormat="1" applyFont="1" applyBorder="1" applyAlignment="1">
      <alignment horizontal="center" vertical="center" wrapText="1"/>
    </xf>
    <xf numFmtId="0" fontId="10" fillId="6" borderId="1" xfId="0" applyFont="1" applyFill="1" applyBorder="1" applyAlignment="1">
      <alignment vertical="center" wrapText="1"/>
    </xf>
    <xf numFmtId="0" fontId="11" fillId="0" borderId="1" xfId="0" applyFont="1" applyBorder="1" applyAlignment="1">
      <alignment vertical="center" wrapText="1"/>
    </xf>
    <xf numFmtId="0" fontId="11" fillId="7" borderId="1" xfId="0" applyFont="1" applyFill="1" applyBorder="1" applyAlignment="1">
      <alignment vertical="center" wrapText="1"/>
    </xf>
    <xf numFmtId="0" fontId="1" fillId="0" borderId="1" xfId="0" applyFont="1" applyBorder="1" applyAlignment="1">
      <alignment vertical="top"/>
    </xf>
  </cellXfs>
  <cellStyles count="3">
    <cellStyle name="Normal" xfId="0" builtinId="0"/>
    <cellStyle name="Normal 10" xfId="1" xr:uid="{00000000-0005-0000-0000-000031000000}"/>
    <cellStyle name="Normal_Sheet1" xfId="2" xr:uid="{00000000-0005-0000-0000-000032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1595755</xdr:colOff>
      <xdr:row>5</xdr:row>
      <xdr:rowOff>112570</xdr:rowOff>
    </xdr:from>
    <xdr:to>
      <xdr:col>4</xdr:col>
      <xdr:colOff>2190750</xdr:colOff>
      <xdr:row>5</xdr:row>
      <xdr:rowOff>5127800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595755" y="1162050"/>
          <a:ext cx="6731000" cy="50152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427355</xdr:colOff>
      <xdr:row>5</xdr:row>
      <xdr:rowOff>175260</xdr:rowOff>
    </xdr:from>
    <xdr:to>
      <xdr:col>4</xdr:col>
      <xdr:colOff>1514475</xdr:colOff>
      <xdr:row>6</xdr:row>
      <xdr:rowOff>2222500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427355" y="1224915"/>
          <a:ext cx="9129395" cy="4128770"/>
        </a:xfrm>
        <a:prstGeom prst="rect">
          <a:avLst/>
        </a:prstGeom>
        <a:noFill/>
        <a:ln w="9525">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562841</xdr:colOff>
      <xdr:row>5</xdr:row>
      <xdr:rowOff>259772</xdr:rowOff>
    </xdr:from>
    <xdr:to>
      <xdr:col>5</xdr:col>
      <xdr:colOff>1948411</xdr:colOff>
      <xdr:row>6</xdr:row>
      <xdr:rowOff>561397</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562610" y="1309370"/>
          <a:ext cx="8978900" cy="1749425"/>
        </a:xfrm>
        <a:prstGeom prst="rect">
          <a:avLst/>
        </a:prstGeom>
      </xdr:spPr>
    </xdr:pic>
    <xdr:clientData/>
  </xdr:twoCellAnchor>
  <xdr:twoCellAnchor editAs="oneCell">
    <xdr:from>
      <xdr:col>1</xdr:col>
      <xdr:colOff>874567</xdr:colOff>
      <xdr:row>6</xdr:row>
      <xdr:rowOff>692729</xdr:rowOff>
    </xdr:from>
    <xdr:to>
      <xdr:col>5</xdr:col>
      <xdr:colOff>112567</xdr:colOff>
      <xdr:row>6</xdr:row>
      <xdr:rowOff>5039939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341880" y="3189605"/>
          <a:ext cx="5363845" cy="43472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166370</xdr:colOff>
      <xdr:row>5</xdr:row>
      <xdr:rowOff>29210</xdr:rowOff>
    </xdr:from>
    <xdr:to>
      <xdr:col>3</xdr:col>
      <xdr:colOff>1694180</xdr:colOff>
      <xdr:row>5</xdr:row>
      <xdr:rowOff>4170045</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66370" y="1078865"/>
          <a:ext cx="9207500" cy="4140835"/>
        </a:xfrm>
        <a:prstGeom prst="rect">
          <a:avLst/>
        </a:prstGeom>
        <a:noFill/>
        <a:ln w="9525">
          <a:noFill/>
        </a:ln>
      </xdr:spPr>
    </xdr:pic>
    <xdr:clientData/>
  </xdr:twoCellAnchor>
  <xdr:twoCellAnchor editAs="oneCell">
    <xdr:from>
      <xdr:col>4</xdr:col>
      <xdr:colOff>1471930</xdr:colOff>
      <xdr:row>5</xdr:row>
      <xdr:rowOff>64135</xdr:rowOff>
    </xdr:from>
    <xdr:to>
      <xdr:col>10</xdr:col>
      <xdr:colOff>199390</xdr:colOff>
      <xdr:row>5</xdr:row>
      <xdr:rowOff>4067175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11766550" y="1113790"/>
          <a:ext cx="8822055" cy="4003040"/>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969819</xdr:colOff>
      <xdr:row>5</xdr:row>
      <xdr:rowOff>225136</xdr:rowOff>
    </xdr:from>
    <xdr:to>
      <xdr:col>5</xdr:col>
      <xdr:colOff>853614</xdr:colOff>
      <xdr:row>6</xdr:row>
      <xdr:rowOff>4433281</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969645" y="1274445"/>
          <a:ext cx="7477125" cy="56559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241935</xdr:colOff>
      <xdr:row>5</xdr:row>
      <xdr:rowOff>182245</xdr:rowOff>
    </xdr:from>
    <xdr:to>
      <xdr:col>6</xdr:col>
      <xdr:colOff>567055</xdr:colOff>
      <xdr:row>6</xdr:row>
      <xdr:rowOff>4432300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41935" y="1231900"/>
          <a:ext cx="13889990" cy="633158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zoomScale="96" zoomScaleNormal="96" workbookViewId="0">
      <selection activeCell="B19" sqref="B19"/>
    </sheetView>
  </sheetViews>
  <sheetFormatPr defaultColWidth="9" defaultRowHeight="16.5"/>
  <cols>
    <col min="1" max="1" width="42.6328125" style="2" customWidth="1"/>
    <col min="2" max="2" width="37.26953125" style="2" customWidth="1"/>
    <col min="3" max="3" width="39" style="2" customWidth="1"/>
    <col min="4" max="4" width="70.54296875" style="2" customWidth="1"/>
    <col min="5" max="16384" width="9" style="2"/>
  </cols>
  <sheetData>
    <row r="1" spans="1:4" ht="16.5" customHeight="1">
      <c r="A1" s="112" t="s">
        <v>0</v>
      </c>
      <c r="B1" s="112"/>
      <c r="C1" s="112"/>
      <c r="D1" s="112"/>
    </row>
    <row r="2" spans="1:4" ht="19.5" customHeight="1">
      <c r="A2" s="112"/>
      <c r="B2" s="112"/>
      <c r="C2" s="112"/>
      <c r="D2" s="112"/>
    </row>
    <row r="3" spans="1:4" ht="33.75" customHeight="1">
      <c r="A3" s="97" t="s">
        <v>1</v>
      </c>
      <c r="B3" s="111" t="s">
        <v>2</v>
      </c>
      <c r="C3" s="112"/>
      <c r="D3" s="112"/>
    </row>
    <row r="4" spans="1:4">
      <c r="A4" s="97" t="s">
        <v>3</v>
      </c>
      <c r="B4" s="98" t="s">
        <v>4</v>
      </c>
      <c r="C4" s="98" t="s">
        <v>5</v>
      </c>
      <c r="D4" s="98" t="s">
        <v>6</v>
      </c>
    </row>
    <row r="5" spans="1:4" ht="33">
      <c r="A5" s="99">
        <v>1</v>
      </c>
      <c r="B5" s="100" t="s">
        <v>7</v>
      </c>
      <c r="C5" s="100" t="s">
        <v>7</v>
      </c>
      <c r="D5" s="101" t="s">
        <v>8</v>
      </c>
    </row>
    <row r="6" spans="1:4" ht="22.5" customHeight="1">
      <c r="A6" s="102"/>
      <c r="B6" s="103" t="s">
        <v>9</v>
      </c>
      <c r="C6" s="103" t="s">
        <v>9</v>
      </c>
      <c r="D6" s="104" t="s">
        <v>10</v>
      </c>
    </row>
    <row r="7" spans="1:4" ht="22" customHeight="1">
      <c r="A7" s="105">
        <v>3</v>
      </c>
      <c r="B7" s="104" t="s">
        <v>11</v>
      </c>
      <c r="C7" s="104" t="s">
        <v>11</v>
      </c>
      <c r="D7" s="104" t="s">
        <v>12</v>
      </c>
    </row>
    <row r="8" spans="1:4" ht="31" customHeight="1">
      <c r="A8" s="105">
        <v>4</v>
      </c>
      <c r="B8" s="106" t="s">
        <v>13</v>
      </c>
      <c r="C8" s="106" t="s">
        <v>13</v>
      </c>
      <c r="D8" s="107" t="s">
        <v>14</v>
      </c>
    </row>
    <row r="9" spans="1:4" ht="20" customHeight="1">
      <c r="A9" s="105">
        <v>5</v>
      </c>
      <c r="B9" s="106" t="s">
        <v>15</v>
      </c>
      <c r="C9" s="106" t="s">
        <v>15</v>
      </c>
      <c r="D9" s="107" t="s">
        <v>16</v>
      </c>
    </row>
    <row r="10" spans="1:4" ht="24" customHeight="1">
      <c r="A10" s="105">
        <v>6</v>
      </c>
      <c r="B10" s="106" t="s">
        <v>17</v>
      </c>
      <c r="C10" s="106" t="s">
        <v>17</v>
      </c>
      <c r="D10" s="107" t="s">
        <v>18</v>
      </c>
    </row>
  </sheetData>
  <mergeCells count="2">
    <mergeCell ref="B3:D3"/>
    <mergeCell ref="A1: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1"/>
  <sheetViews>
    <sheetView topLeftCell="A39" zoomScale="70" zoomScaleNormal="70" workbookViewId="0">
      <selection activeCell="J16" sqref="J16"/>
    </sheetView>
  </sheetViews>
  <sheetFormatPr defaultColWidth="9" defaultRowHeight="16.5"/>
  <cols>
    <col min="1" max="1" width="23.26953125" style="37" customWidth="1"/>
    <col min="2" max="2" width="21.6328125" style="37" customWidth="1"/>
    <col min="3" max="3" width="20.6328125" style="37" customWidth="1"/>
    <col min="4" max="4" width="24" style="37" customWidth="1"/>
    <col min="5" max="5" width="36" style="37" customWidth="1"/>
    <col min="6" max="6" width="36.26953125" style="37" customWidth="1"/>
    <col min="7" max="7" width="13.81640625" style="37" customWidth="1"/>
    <col min="8" max="8" width="18.26953125" style="37" customWidth="1"/>
    <col min="9" max="9" width="19.6328125" style="37" customWidth="1"/>
    <col min="10" max="10" width="13.81640625" style="37" customWidth="1"/>
    <col min="11" max="11" width="18.26953125" style="37" customWidth="1"/>
    <col min="12" max="12" width="19.6328125" style="37" customWidth="1"/>
    <col min="13" max="13" width="11" style="37" customWidth="1"/>
    <col min="14" max="16384" width="9" style="37"/>
  </cols>
  <sheetData>
    <row r="1" spans="1:13" s="36" customFormat="1" ht="15.75" customHeight="1">
      <c r="A1" s="38" t="s">
        <v>19</v>
      </c>
      <c r="B1" s="113" t="s">
        <v>2</v>
      </c>
      <c r="C1" s="113"/>
      <c r="D1" s="113"/>
      <c r="E1" s="113"/>
      <c r="F1" s="113"/>
      <c r="G1" s="39"/>
      <c r="H1" s="40"/>
      <c r="J1" s="39"/>
    </row>
    <row r="2" spans="1:13" s="36" customFormat="1">
      <c r="A2" s="38" t="s">
        <v>20</v>
      </c>
      <c r="B2" s="114" t="s">
        <v>7</v>
      </c>
      <c r="C2" s="114"/>
      <c r="D2" s="114"/>
      <c r="E2" s="114"/>
      <c r="F2" s="114"/>
      <c r="G2" s="39"/>
      <c r="H2" s="40"/>
      <c r="J2" s="39"/>
    </row>
    <row r="3" spans="1:13" s="36" customFormat="1" ht="16.5" customHeight="1">
      <c r="A3" s="41"/>
      <c r="B3" s="42" t="s">
        <v>21</v>
      </c>
      <c r="C3" s="42" t="s">
        <v>22</v>
      </c>
      <c r="D3" s="42" t="s">
        <v>23</v>
      </c>
      <c r="E3" s="42" t="s">
        <v>24</v>
      </c>
      <c r="F3" s="42" t="s">
        <v>25</v>
      </c>
      <c r="G3" s="39"/>
      <c r="H3" s="40"/>
      <c r="J3" s="39"/>
    </row>
    <row r="4" spans="1:13" s="36" customFormat="1">
      <c r="A4" s="43" t="s">
        <v>26</v>
      </c>
      <c r="B4" s="44">
        <v>27</v>
      </c>
      <c r="C4" s="44">
        <v>3</v>
      </c>
      <c r="D4" s="41">
        <f>COUNTIF(G11:G35,"Untested")</f>
        <v>0</v>
      </c>
      <c r="E4" s="45">
        <f>COUNTIF(G11:G35,"Blocked")</f>
        <v>0</v>
      </c>
      <c r="F4" s="41">
        <v>30</v>
      </c>
      <c r="G4" s="39"/>
      <c r="H4" s="40"/>
      <c r="J4" s="39"/>
    </row>
    <row r="5" spans="1:13" s="36" customFormat="1">
      <c r="A5" s="43" t="s">
        <v>27</v>
      </c>
      <c r="B5" s="44">
        <v>3</v>
      </c>
      <c r="C5" s="44">
        <v>0</v>
      </c>
      <c r="D5" s="41">
        <f>COUNTIF(J11:J35,"Untested")</f>
        <v>0</v>
      </c>
      <c r="E5" s="45">
        <f>COUNTIF(J11:J35,"Blocked")</f>
        <v>0</v>
      </c>
      <c r="F5" s="41">
        <v>3</v>
      </c>
      <c r="G5" s="39"/>
      <c r="H5" s="40"/>
      <c r="J5" s="39"/>
    </row>
    <row r="6" spans="1:13" s="36" customFormat="1" ht="409.5" customHeight="1">
      <c r="A6" s="50"/>
      <c r="B6" s="51"/>
      <c r="E6" s="52"/>
      <c r="G6" s="39"/>
      <c r="H6" s="40"/>
      <c r="J6" s="39"/>
    </row>
    <row r="7" spans="1:13" s="36" customFormat="1">
      <c r="A7" s="115" t="s">
        <v>28</v>
      </c>
      <c r="B7" s="115" t="s">
        <v>6</v>
      </c>
      <c r="C7" s="115" t="s">
        <v>29</v>
      </c>
      <c r="D7" s="115" t="s">
        <v>30</v>
      </c>
      <c r="E7" s="115" t="s">
        <v>31</v>
      </c>
      <c r="F7" s="115" t="s">
        <v>32</v>
      </c>
      <c r="G7" s="115" t="s">
        <v>33</v>
      </c>
      <c r="H7" s="115"/>
      <c r="I7" s="115"/>
      <c r="J7" s="115" t="s">
        <v>33</v>
      </c>
      <c r="K7" s="115"/>
      <c r="L7" s="115"/>
      <c r="M7" s="115" t="s">
        <v>34</v>
      </c>
    </row>
    <row r="8" spans="1:13" s="36" customFormat="1">
      <c r="A8" s="115"/>
      <c r="B8" s="115"/>
      <c r="C8" s="115"/>
      <c r="D8" s="115"/>
      <c r="E8" s="115"/>
      <c r="F8" s="115"/>
      <c r="G8" s="115" t="s">
        <v>35</v>
      </c>
      <c r="H8" s="115"/>
      <c r="I8" s="115"/>
      <c r="J8" s="115" t="s">
        <v>36</v>
      </c>
      <c r="K8" s="115"/>
      <c r="L8" s="115"/>
      <c r="M8" s="115"/>
    </row>
    <row r="9" spans="1:13" s="36" customFormat="1">
      <c r="A9" s="115"/>
      <c r="B9" s="115"/>
      <c r="C9" s="115"/>
      <c r="D9" s="115"/>
      <c r="E9" s="115"/>
      <c r="F9" s="115"/>
      <c r="G9" s="53" t="s">
        <v>37</v>
      </c>
      <c r="H9" s="54" t="s">
        <v>38</v>
      </c>
      <c r="I9" s="42" t="s">
        <v>39</v>
      </c>
      <c r="J9" s="53" t="s">
        <v>37</v>
      </c>
      <c r="K9" s="54" t="s">
        <v>38</v>
      </c>
      <c r="L9" s="42" t="s">
        <v>39</v>
      </c>
      <c r="M9" s="115"/>
    </row>
    <row r="10" spans="1:13" s="36" customFormat="1" ht="30" customHeight="1">
      <c r="A10" s="116" t="s">
        <v>40</v>
      </c>
      <c r="B10" s="116"/>
      <c r="C10" s="116"/>
      <c r="D10" s="116"/>
      <c r="E10" s="116"/>
      <c r="F10" s="116"/>
      <c r="G10" s="116"/>
      <c r="H10" s="116"/>
      <c r="I10" s="116"/>
      <c r="J10" s="116"/>
      <c r="K10" s="116"/>
      <c r="L10" s="116"/>
      <c r="M10" s="116"/>
    </row>
    <row r="11" spans="1:13" s="36" customFormat="1" ht="50.65" customHeight="1">
      <c r="A11" s="83" t="s">
        <v>41</v>
      </c>
      <c r="B11" s="84" t="s">
        <v>42</v>
      </c>
      <c r="C11" s="85"/>
      <c r="D11" s="79" t="s">
        <v>43</v>
      </c>
      <c r="E11" s="86" t="s">
        <v>44</v>
      </c>
      <c r="F11" s="86" t="s">
        <v>44</v>
      </c>
      <c r="G11" s="128" t="s">
        <v>60</v>
      </c>
      <c r="H11" s="87">
        <v>46143</v>
      </c>
      <c r="I11" s="88" t="s">
        <v>45</v>
      </c>
      <c r="J11" s="85"/>
      <c r="K11" s="85"/>
      <c r="L11" s="85"/>
      <c r="M11" s="85"/>
    </row>
    <row r="12" spans="1:13" s="36" customFormat="1" ht="51" customHeight="1">
      <c r="A12" s="83" t="s">
        <v>46</v>
      </c>
      <c r="B12" s="89" t="s">
        <v>47</v>
      </c>
      <c r="C12" s="90"/>
      <c r="D12" s="79" t="s">
        <v>43</v>
      </c>
      <c r="E12" s="86" t="s">
        <v>44</v>
      </c>
      <c r="F12" s="86" t="s">
        <v>44</v>
      </c>
      <c r="G12" s="128" t="s">
        <v>60</v>
      </c>
      <c r="H12" s="87">
        <v>46143</v>
      </c>
      <c r="I12" s="91" t="s">
        <v>45</v>
      </c>
      <c r="J12" s="90"/>
      <c r="K12" s="90"/>
      <c r="L12" s="90"/>
      <c r="M12" s="90"/>
    </row>
    <row r="13" spans="1:13" s="36" customFormat="1" ht="50.15" customHeight="1">
      <c r="A13" s="83" t="s">
        <v>48</v>
      </c>
      <c r="B13" s="89" t="s">
        <v>49</v>
      </c>
      <c r="C13" s="90"/>
      <c r="D13" s="79" t="s">
        <v>43</v>
      </c>
      <c r="E13" s="86" t="s">
        <v>44</v>
      </c>
      <c r="F13" s="86" t="s">
        <v>44</v>
      </c>
      <c r="G13" s="128" t="s">
        <v>60</v>
      </c>
      <c r="H13" s="87">
        <v>46143</v>
      </c>
      <c r="I13" s="91" t="s">
        <v>45</v>
      </c>
      <c r="J13" s="90"/>
      <c r="K13" s="90"/>
      <c r="L13" s="90"/>
      <c r="M13" s="90"/>
    </row>
    <row r="14" spans="1:13" s="36" customFormat="1" ht="50.15" customHeight="1">
      <c r="A14" s="83" t="s">
        <v>50</v>
      </c>
      <c r="B14" s="89" t="s">
        <v>51</v>
      </c>
      <c r="C14" s="90"/>
      <c r="D14" s="79" t="s">
        <v>43</v>
      </c>
      <c r="E14" s="92" t="s">
        <v>44</v>
      </c>
      <c r="F14" s="92" t="s">
        <v>44</v>
      </c>
      <c r="G14" s="128" t="s">
        <v>60</v>
      </c>
      <c r="H14" s="87">
        <v>46143</v>
      </c>
      <c r="I14" s="91" t="s">
        <v>45</v>
      </c>
      <c r="J14" s="90"/>
      <c r="K14" s="90"/>
      <c r="L14" s="90"/>
      <c r="M14" s="90"/>
    </row>
    <row r="15" spans="1:13" s="36" customFormat="1" ht="50.15" customHeight="1">
      <c r="A15" s="83" t="s">
        <v>52</v>
      </c>
      <c r="B15" s="89" t="s">
        <v>53</v>
      </c>
      <c r="C15" s="93"/>
      <c r="D15" s="79" t="s">
        <v>43</v>
      </c>
      <c r="E15" s="92" t="s">
        <v>54</v>
      </c>
      <c r="F15" s="92" t="s">
        <v>54</v>
      </c>
      <c r="G15" s="128" t="s">
        <v>60</v>
      </c>
      <c r="H15" s="87">
        <v>46143</v>
      </c>
      <c r="I15" s="91" t="s">
        <v>45</v>
      </c>
      <c r="J15" s="93"/>
      <c r="K15" s="85"/>
      <c r="L15" s="85"/>
      <c r="M15" s="85"/>
    </row>
    <row r="16" spans="1:13" s="36" customFormat="1" ht="50.15" customHeight="1">
      <c r="A16" s="83" t="s">
        <v>55</v>
      </c>
      <c r="B16" s="89" t="s">
        <v>56</v>
      </c>
      <c r="C16" s="94"/>
      <c r="D16" s="79" t="s">
        <v>43</v>
      </c>
      <c r="E16" s="92" t="s">
        <v>57</v>
      </c>
      <c r="F16" s="92" t="s">
        <v>58</v>
      </c>
      <c r="G16" s="95" t="s">
        <v>59</v>
      </c>
      <c r="H16" s="87">
        <v>46143</v>
      </c>
      <c r="I16" s="91" t="s">
        <v>45</v>
      </c>
      <c r="J16" s="134" t="s">
        <v>60</v>
      </c>
      <c r="K16" s="87">
        <v>46144</v>
      </c>
      <c r="L16" s="90" t="s">
        <v>45</v>
      </c>
      <c r="M16" s="90"/>
    </row>
    <row r="17" spans="1:13" s="36" customFormat="1" ht="50.15" customHeight="1">
      <c r="A17" s="83" t="s">
        <v>61</v>
      </c>
      <c r="B17" s="89" t="s">
        <v>62</v>
      </c>
      <c r="C17" s="90"/>
      <c r="D17" s="79" t="s">
        <v>43</v>
      </c>
      <c r="E17" s="92" t="s">
        <v>57</v>
      </c>
      <c r="F17" s="92" t="s">
        <v>57</v>
      </c>
      <c r="G17" s="129" t="s">
        <v>60</v>
      </c>
      <c r="H17" s="87">
        <v>46143</v>
      </c>
      <c r="I17" s="91" t="s">
        <v>45</v>
      </c>
      <c r="J17" s="94"/>
      <c r="K17" s="90"/>
      <c r="L17" s="90"/>
      <c r="M17" s="90"/>
    </row>
    <row r="18" spans="1:13" s="36" customFormat="1" ht="50.15" customHeight="1">
      <c r="A18" s="83" t="s">
        <v>63</v>
      </c>
      <c r="B18" s="89" t="s">
        <v>64</v>
      </c>
      <c r="C18" s="85"/>
      <c r="D18" s="79" t="s">
        <v>43</v>
      </c>
      <c r="E18" s="92" t="s">
        <v>65</v>
      </c>
      <c r="F18" s="92" t="s">
        <v>65</v>
      </c>
      <c r="G18" s="129" t="s">
        <v>60</v>
      </c>
      <c r="H18" s="87">
        <v>46143</v>
      </c>
      <c r="I18" s="91" t="s">
        <v>45</v>
      </c>
      <c r="J18" s="94"/>
      <c r="K18" s="90"/>
      <c r="L18" s="90"/>
      <c r="M18" s="90"/>
    </row>
    <row r="19" spans="1:13" s="36" customFormat="1" ht="50.15" customHeight="1">
      <c r="A19" s="83" t="s">
        <v>66</v>
      </c>
      <c r="B19" s="89" t="s">
        <v>67</v>
      </c>
      <c r="C19" s="90"/>
      <c r="D19" s="79" t="s">
        <v>43</v>
      </c>
      <c r="E19" s="92" t="s">
        <v>57</v>
      </c>
      <c r="F19" s="92" t="s">
        <v>57</v>
      </c>
      <c r="G19" s="129" t="s">
        <v>60</v>
      </c>
      <c r="H19" s="87">
        <v>46143</v>
      </c>
      <c r="I19" s="91" t="s">
        <v>45</v>
      </c>
      <c r="J19" s="94"/>
      <c r="K19" s="90"/>
      <c r="L19" s="90"/>
      <c r="M19" s="90"/>
    </row>
    <row r="20" spans="1:13" s="36" customFormat="1" ht="50.15" customHeight="1">
      <c r="A20" s="83" t="s">
        <v>68</v>
      </c>
      <c r="B20" s="89" t="s">
        <v>69</v>
      </c>
      <c r="C20" s="93"/>
      <c r="D20" s="79" t="s">
        <v>43</v>
      </c>
      <c r="E20" s="92" t="s">
        <v>70</v>
      </c>
      <c r="F20" s="92" t="s">
        <v>70</v>
      </c>
      <c r="G20" s="129" t="s">
        <v>60</v>
      </c>
      <c r="H20" s="87">
        <v>46143</v>
      </c>
      <c r="I20" s="91" t="s">
        <v>45</v>
      </c>
      <c r="J20" s="96"/>
      <c r="K20" s="87"/>
      <c r="L20" s="88"/>
      <c r="M20" s="94"/>
    </row>
    <row r="21" spans="1:13" s="36" customFormat="1" ht="50.15" customHeight="1">
      <c r="A21" s="83" t="s">
        <v>71</v>
      </c>
      <c r="B21" s="89" t="s">
        <v>72</v>
      </c>
      <c r="C21" s="85"/>
      <c r="D21" s="79" t="s">
        <v>43</v>
      </c>
      <c r="E21" s="92" t="s">
        <v>65</v>
      </c>
      <c r="F21" s="92" t="s">
        <v>65</v>
      </c>
      <c r="G21" s="129" t="s">
        <v>60</v>
      </c>
      <c r="H21" s="87">
        <v>46143</v>
      </c>
      <c r="I21" s="91" t="s">
        <v>45</v>
      </c>
      <c r="J21" s="96"/>
      <c r="K21" s="87"/>
      <c r="L21" s="88"/>
      <c r="M21" s="94"/>
    </row>
    <row r="22" spans="1:13" s="36" customFormat="1" ht="50.15" customHeight="1">
      <c r="A22" s="83" t="s">
        <v>73</v>
      </c>
      <c r="B22" s="89" t="s">
        <v>74</v>
      </c>
      <c r="C22" s="85"/>
      <c r="D22" s="79" t="s">
        <v>43</v>
      </c>
      <c r="E22" s="92" t="s">
        <v>44</v>
      </c>
      <c r="F22" s="92" t="s">
        <v>44</v>
      </c>
      <c r="G22" s="129" t="s">
        <v>60</v>
      </c>
      <c r="H22" s="87">
        <v>46143</v>
      </c>
      <c r="I22" s="91" t="s">
        <v>45</v>
      </c>
      <c r="J22" s="96"/>
      <c r="K22" s="87"/>
      <c r="L22" s="88"/>
      <c r="M22" s="94"/>
    </row>
    <row r="23" spans="1:13" s="36" customFormat="1" ht="50.15" customHeight="1">
      <c r="A23" s="83" t="s">
        <v>75</v>
      </c>
      <c r="B23" s="89" t="s">
        <v>76</v>
      </c>
      <c r="C23" s="85"/>
      <c r="D23" s="79" t="s">
        <v>43</v>
      </c>
      <c r="E23" s="92" t="s">
        <v>44</v>
      </c>
      <c r="F23" s="92" t="s">
        <v>77</v>
      </c>
      <c r="G23" s="95" t="s">
        <v>59</v>
      </c>
      <c r="H23" s="87">
        <v>46143</v>
      </c>
      <c r="I23" s="91" t="s">
        <v>45</v>
      </c>
      <c r="J23" s="90"/>
      <c r="K23" s="90"/>
      <c r="L23" s="90"/>
      <c r="M23" s="94"/>
    </row>
    <row r="24" spans="1:13" s="36" customFormat="1" ht="50.15" customHeight="1">
      <c r="A24" s="83" t="s">
        <v>78</v>
      </c>
      <c r="B24" s="89" t="s">
        <v>79</v>
      </c>
      <c r="C24" s="85"/>
      <c r="D24" s="79" t="s">
        <v>43</v>
      </c>
      <c r="E24" s="92" t="s">
        <v>44</v>
      </c>
      <c r="F24" s="92" t="s">
        <v>44</v>
      </c>
      <c r="G24" s="129" t="s">
        <v>60</v>
      </c>
      <c r="H24" s="87">
        <v>46143</v>
      </c>
      <c r="I24" s="91" t="s">
        <v>45</v>
      </c>
      <c r="J24" s="90"/>
      <c r="K24" s="90"/>
      <c r="L24" s="90"/>
      <c r="M24" s="94"/>
    </row>
    <row r="25" spans="1:13" s="36" customFormat="1" ht="50.15" customHeight="1">
      <c r="A25" s="83" t="s">
        <v>80</v>
      </c>
      <c r="B25" s="89" t="s">
        <v>81</v>
      </c>
      <c r="C25" s="85"/>
      <c r="D25" s="79" t="s">
        <v>43</v>
      </c>
      <c r="E25" s="92" t="s">
        <v>58</v>
      </c>
      <c r="F25" s="92" t="s">
        <v>58</v>
      </c>
      <c r="G25" s="129" t="s">
        <v>60</v>
      </c>
      <c r="H25" s="87">
        <v>46143</v>
      </c>
      <c r="I25" s="91" t="s">
        <v>45</v>
      </c>
      <c r="J25" s="90"/>
      <c r="K25" s="90"/>
      <c r="L25" s="90"/>
      <c r="M25" s="94"/>
    </row>
    <row r="26" spans="1:13" s="36" customFormat="1" ht="50.15" customHeight="1">
      <c r="A26" s="83" t="s">
        <v>82</v>
      </c>
      <c r="B26" s="89" t="s">
        <v>83</v>
      </c>
      <c r="C26" s="85"/>
      <c r="D26" s="79" t="s">
        <v>43</v>
      </c>
      <c r="E26" s="92" t="s">
        <v>44</v>
      </c>
      <c r="F26" s="92" t="s">
        <v>44</v>
      </c>
      <c r="G26" s="129" t="s">
        <v>60</v>
      </c>
      <c r="H26" s="87">
        <v>46143</v>
      </c>
      <c r="I26" s="91" t="s">
        <v>45</v>
      </c>
      <c r="J26" s="90"/>
      <c r="K26" s="90"/>
      <c r="L26" s="90"/>
      <c r="M26" s="94"/>
    </row>
    <row r="27" spans="1:13" s="36" customFormat="1" ht="50.15" customHeight="1">
      <c r="A27" s="83" t="s">
        <v>84</v>
      </c>
      <c r="B27" s="89" t="s">
        <v>85</v>
      </c>
      <c r="C27" s="85"/>
      <c r="D27" s="79" t="s">
        <v>43</v>
      </c>
      <c r="E27" s="92" t="s">
        <v>44</v>
      </c>
      <c r="F27" s="92" t="s">
        <v>44</v>
      </c>
      <c r="G27" s="129" t="s">
        <v>60</v>
      </c>
      <c r="H27" s="87">
        <v>46143</v>
      </c>
      <c r="I27" s="91" t="s">
        <v>45</v>
      </c>
      <c r="J27" s="90"/>
      <c r="K27" s="90"/>
      <c r="L27" s="90"/>
      <c r="M27" s="94"/>
    </row>
    <row r="28" spans="1:13" s="36" customFormat="1" ht="50.15" customHeight="1">
      <c r="A28" s="83" t="s">
        <v>86</v>
      </c>
      <c r="B28" s="89" t="s">
        <v>87</v>
      </c>
      <c r="C28" s="85"/>
      <c r="D28" s="79" t="s">
        <v>43</v>
      </c>
      <c r="E28" s="92" t="s">
        <v>44</v>
      </c>
      <c r="F28" s="92" t="s">
        <v>44</v>
      </c>
      <c r="G28" s="129" t="s">
        <v>60</v>
      </c>
      <c r="H28" s="87">
        <v>46143</v>
      </c>
      <c r="I28" s="91" t="s">
        <v>45</v>
      </c>
      <c r="J28" s="90"/>
      <c r="K28" s="90"/>
      <c r="L28" s="90"/>
      <c r="M28" s="94"/>
    </row>
    <row r="29" spans="1:13" s="36" customFormat="1" ht="50.15" customHeight="1">
      <c r="A29" s="117" t="s">
        <v>88</v>
      </c>
      <c r="B29" s="117"/>
      <c r="C29" s="117"/>
      <c r="D29" s="117"/>
      <c r="E29" s="117"/>
      <c r="F29" s="117"/>
      <c r="G29" s="117"/>
      <c r="H29" s="117"/>
      <c r="I29" s="117"/>
      <c r="J29" s="117"/>
      <c r="K29" s="117"/>
      <c r="L29" s="117"/>
      <c r="M29" s="117"/>
    </row>
    <row r="30" spans="1:13" s="36" customFormat="1" ht="94.5" customHeight="1">
      <c r="A30" s="55" t="s">
        <v>89</v>
      </c>
      <c r="B30" s="55" t="s">
        <v>90</v>
      </c>
      <c r="C30" s="55" t="s">
        <v>91</v>
      </c>
      <c r="D30" s="65" t="s">
        <v>43</v>
      </c>
      <c r="E30" s="56" t="s">
        <v>92</v>
      </c>
      <c r="F30" s="56" t="s">
        <v>92</v>
      </c>
      <c r="G30" s="130" t="s">
        <v>60</v>
      </c>
      <c r="H30" s="87">
        <v>46143</v>
      </c>
      <c r="I30" s="131" t="s">
        <v>45</v>
      </c>
      <c r="J30" s="65"/>
      <c r="K30" s="65"/>
      <c r="L30" s="65"/>
      <c r="M30" s="65"/>
    </row>
    <row r="31" spans="1:13" s="36" customFormat="1" ht="106" customHeight="1">
      <c r="A31" s="55" t="s">
        <v>93</v>
      </c>
      <c r="B31" s="55" t="s">
        <v>94</v>
      </c>
      <c r="C31" s="55" t="s">
        <v>95</v>
      </c>
      <c r="D31" s="65" t="s">
        <v>96</v>
      </c>
      <c r="E31" s="56" t="s">
        <v>97</v>
      </c>
      <c r="F31" s="56" t="s">
        <v>98</v>
      </c>
      <c r="G31" s="130" t="s">
        <v>60</v>
      </c>
      <c r="H31" s="87">
        <v>46143</v>
      </c>
      <c r="I31" s="131" t="s">
        <v>45</v>
      </c>
      <c r="J31" s="61"/>
      <c r="K31" s="67"/>
      <c r="L31" s="66"/>
      <c r="M31" s="65"/>
    </row>
    <row r="32" spans="1:13" s="36" customFormat="1" ht="90.5" customHeight="1">
      <c r="A32" s="55" t="s">
        <v>99</v>
      </c>
      <c r="B32" s="55" t="s">
        <v>100</v>
      </c>
      <c r="C32" s="55" t="s">
        <v>101</v>
      </c>
      <c r="D32" s="65" t="s">
        <v>96</v>
      </c>
      <c r="E32" s="56" t="s">
        <v>102</v>
      </c>
      <c r="F32" s="56" t="s">
        <v>103</v>
      </c>
      <c r="G32" s="132" t="s">
        <v>104</v>
      </c>
      <c r="H32" s="87">
        <v>46143</v>
      </c>
      <c r="I32" s="131" t="s">
        <v>45</v>
      </c>
      <c r="J32" s="134" t="s">
        <v>60</v>
      </c>
      <c r="K32" s="87">
        <v>46144</v>
      </c>
      <c r="L32" s="90" t="s">
        <v>45</v>
      </c>
      <c r="M32" s="65"/>
    </row>
    <row r="33" spans="1:13" s="36" customFormat="1" ht="93" customHeight="1">
      <c r="A33" s="55" t="s">
        <v>105</v>
      </c>
      <c r="B33" s="55" t="s">
        <v>106</v>
      </c>
      <c r="C33" s="55" t="s">
        <v>107</v>
      </c>
      <c r="D33" s="65" t="s">
        <v>108</v>
      </c>
      <c r="E33" s="56" t="s">
        <v>109</v>
      </c>
      <c r="F33" s="56" t="s">
        <v>109</v>
      </c>
      <c r="G33" s="130" t="s">
        <v>60</v>
      </c>
      <c r="H33" s="87">
        <v>46143</v>
      </c>
      <c r="I33" s="131" t="s">
        <v>45</v>
      </c>
      <c r="J33" s="65"/>
      <c r="K33" s="65"/>
      <c r="L33" s="65"/>
      <c r="M33" s="65"/>
    </row>
    <row r="34" spans="1:13" s="36" customFormat="1" ht="94" customHeight="1">
      <c r="A34" s="55" t="s">
        <v>110</v>
      </c>
      <c r="B34" s="55" t="s">
        <v>111</v>
      </c>
      <c r="C34" s="55" t="s">
        <v>112</v>
      </c>
      <c r="D34" s="65" t="s">
        <v>96</v>
      </c>
      <c r="E34" s="56" t="s">
        <v>113</v>
      </c>
      <c r="F34" s="56" t="s">
        <v>113</v>
      </c>
      <c r="G34" s="130" t="s">
        <v>60</v>
      </c>
      <c r="H34" s="87">
        <v>46143</v>
      </c>
      <c r="I34" s="131" t="s">
        <v>45</v>
      </c>
      <c r="J34" s="65"/>
      <c r="K34" s="65"/>
      <c r="L34" s="65"/>
      <c r="M34" s="65"/>
    </row>
    <row r="35" spans="1:13" s="36" customFormat="1" ht="83.5" customHeight="1">
      <c r="A35" s="55" t="s">
        <v>114</v>
      </c>
      <c r="B35" s="55" t="s">
        <v>115</v>
      </c>
      <c r="C35" s="55" t="s">
        <v>116</v>
      </c>
      <c r="D35" s="65" t="s">
        <v>117</v>
      </c>
      <c r="E35" s="56" t="s">
        <v>118</v>
      </c>
      <c r="F35" s="56" t="s">
        <v>118</v>
      </c>
      <c r="G35" s="130" t="s">
        <v>60</v>
      </c>
      <c r="H35" s="87">
        <v>46143</v>
      </c>
      <c r="I35" s="131" t="s">
        <v>45</v>
      </c>
      <c r="J35" s="61"/>
      <c r="K35" s="67"/>
      <c r="L35" s="66"/>
      <c r="M35" s="65"/>
    </row>
    <row r="36" spans="1:13" s="36" customFormat="1" ht="114.5" customHeight="1">
      <c r="A36" s="55" t="s">
        <v>119</v>
      </c>
      <c r="B36" s="55" t="s">
        <v>120</v>
      </c>
      <c r="C36" s="55" t="s">
        <v>121</v>
      </c>
      <c r="D36" s="65" t="s">
        <v>122</v>
      </c>
      <c r="E36" s="56" t="s">
        <v>123</v>
      </c>
      <c r="F36" s="56" t="s">
        <v>123</v>
      </c>
      <c r="G36" s="130" t="s">
        <v>60</v>
      </c>
      <c r="H36" s="87">
        <v>46143</v>
      </c>
      <c r="I36" s="131" t="s">
        <v>45</v>
      </c>
      <c r="J36" s="61"/>
      <c r="K36" s="67"/>
      <c r="L36" s="66"/>
      <c r="M36" s="65"/>
    </row>
    <row r="37" spans="1:13" ht="90.5" customHeight="1">
      <c r="A37" s="55" t="s">
        <v>124</v>
      </c>
      <c r="B37" s="55" t="s">
        <v>125</v>
      </c>
      <c r="C37" s="55" t="s">
        <v>126</v>
      </c>
      <c r="D37" s="68" t="s">
        <v>127</v>
      </c>
      <c r="E37" s="68" t="s">
        <v>128</v>
      </c>
      <c r="F37" s="68" t="s">
        <v>128</v>
      </c>
      <c r="G37" s="133" t="s">
        <v>60</v>
      </c>
      <c r="H37" s="87">
        <v>46143</v>
      </c>
      <c r="I37" s="131" t="s">
        <v>45</v>
      </c>
      <c r="J37" s="68"/>
      <c r="K37" s="68"/>
      <c r="L37" s="68"/>
      <c r="M37" s="68"/>
    </row>
    <row r="38" spans="1:13" ht="82.5">
      <c r="A38" s="55" t="s">
        <v>129</v>
      </c>
      <c r="B38" s="55" t="s">
        <v>130</v>
      </c>
      <c r="C38" s="68" t="s">
        <v>131</v>
      </c>
      <c r="D38" s="68" t="s">
        <v>96</v>
      </c>
      <c r="E38" s="56" t="s">
        <v>132</v>
      </c>
      <c r="F38" s="56" t="s">
        <v>132</v>
      </c>
      <c r="G38" s="133" t="s">
        <v>60</v>
      </c>
      <c r="H38" s="87">
        <v>46143</v>
      </c>
      <c r="I38" s="131" t="s">
        <v>45</v>
      </c>
      <c r="J38" s="68"/>
      <c r="K38" s="68"/>
      <c r="L38" s="68"/>
      <c r="M38" s="68"/>
    </row>
    <row r="39" spans="1:13" ht="82.5">
      <c r="A39" s="55" t="s">
        <v>133</v>
      </c>
      <c r="B39" s="55" t="s">
        <v>134</v>
      </c>
      <c r="C39" s="68" t="s">
        <v>135</v>
      </c>
      <c r="D39" s="68" t="s">
        <v>136</v>
      </c>
      <c r="E39" s="56" t="s">
        <v>137</v>
      </c>
      <c r="F39" s="56" t="s">
        <v>137</v>
      </c>
      <c r="G39" s="133" t="s">
        <v>60</v>
      </c>
      <c r="H39" s="87">
        <v>46143</v>
      </c>
      <c r="I39" s="131" t="s">
        <v>45</v>
      </c>
      <c r="J39" s="68"/>
      <c r="K39" s="68"/>
      <c r="L39" s="68"/>
      <c r="M39" s="68"/>
    </row>
    <row r="40" spans="1:13" ht="66">
      <c r="A40" s="55" t="s">
        <v>138</v>
      </c>
      <c r="B40" s="55" t="s">
        <v>139</v>
      </c>
      <c r="C40" s="68" t="s">
        <v>140</v>
      </c>
      <c r="D40" s="68" t="s">
        <v>141</v>
      </c>
      <c r="E40" s="68" t="s">
        <v>142</v>
      </c>
      <c r="F40" s="68" t="s">
        <v>142</v>
      </c>
      <c r="G40" s="133" t="s">
        <v>60</v>
      </c>
      <c r="H40" s="87">
        <v>46143</v>
      </c>
      <c r="I40" s="131" t="s">
        <v>45</v>
      </c>
      <c r="J40" s="68"/>
      <c r="K40" s="68"/>
      <c r="L40" s="68"/>
      <c r="M40" s="68"/>
    </row>
    <row r="41" spans="1:13" ht="49.5">
      <c r="A41" s="55" t="s">
        <v>143</v>
      </c>
      <c r="B41" s="68" t="s">
        <v>144</v>
      </c>
      <c r="C41" s="68" t="s">
        <v>145</v>
      </c>
      <c r="D41" s="68" t="s">
        <v>96</v>
      </c>
      <c r="E41" s="68" t="s">
        <v>137</v>
      </c>
      <c r="F41" s="68" t="s">
        <v>137</v>
      </c>
      <c r="G41" s="133" t="s">
        <v>60</v>
      </c>
      <c r="H41" s="87">
        <v>46143</v>
      </c>
      <c r="I41" s="131" t="s">
        <v>45</v>
      </c>
      <c r="J41" s="68"/>
      <c r="K41" s="68"/>
      <c r="L41" s="68"/>
      <c r="M41" s="68"/>
    </row>
  </sheetData>
  <mergeCells count="15">
    <mergeCell ref="A10:M10"/>
    <mergeCell ref="A29:M29"/>
    <mergeCell ref="A7:A9"/>
    <mergeCell ref="B7:B9"/>
    <mergeCell ref="C7:C9"/>
    <mergeCell ref="D7:D9"/>
    <mergeCell ref="E7:E9"/>
    <mergeCell ref="F7:F9"/>
    <mergeCell ref="M7:M9"/>
    <mergeCell ref="B1:F1"/>
    <mergeCell ref="B2:F2"/>
    <mergeCell ref="G7:I7"/>
    <mergeCell ref="J7:L7"/>
    <mergeCell ref="G8:I8"/>
    <mergeCell ref="J8:L8"/>
  </mergeCells>
  <dataValidations count="1">
    <dataValidation type="list" allowBlank="1" showErrorMessage="1" promptTitle="dfdf" sqref="J31 G30:G36 J35:J36" xr:uid="{00000000-0002-0000-0100-000000000000}">
      <formula1>"Passed,Untested,Failed,Blocked"</formula1>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7"/>
  <sheetViews>
    <sheetView topLeftCell="A21" zoomScale="40" zoomScaleNormal="40" workbookViewId="0">
      <selection activeCell="C20" sqref="C20"/>
    </sheetView>
  </sheetViews>
  <sheetFormatPr defaultColWidth="9" defaultRowHeight="16.5"/>
  <cols>
    <col min="1" max="1" width="23.26953125" style="2" customWidth="1"/>
    <col min="2" max="2" width="21.6328125" style="2" customWidth="1"/>
    <col min="3" max="3" width="34.26953125" style="2" customWidth="1"/>
    <col min="4" max="4" width="38.08984375" style="82" customWidth="1"/>
    <col min="5" max="5" width="44.08984375" style="2" customWidth="1"/>
    <col min="6" max="6" width="36.36328125" style="2" customWidth="1"/>
    <col min="7" max="7" width="13.81640625" style="2" customWidth="1"/>
    <col min="8" max="8" width="18.26953125" style="2" customWidth="1"/>
    <col min="9" max="9" width="28" style="2" customWidth="1"/>
    <col min="10" max="10" width="13.81640625" style="2" customWidth="1"/>
    <col min="11" max="11" width="18.26953125" style="2" customWidth="1"/>
    <col min="12" max="12" width="25.7265625" style="2" customWidth="1"/>
    <col min="13" max="13" width="11" style="2" customWidth="1"/>
    <col min="14" max="16384" width="9" style="2"/>
  </cols>
  <sheetData>
    <row r="1" spans="1:13" s="1" customFormat="1" ht="15.75" customHeight="1">
      <c r="A1" s="3" t="s">
        <v>19</v>
      </c>
      <c r="B1" s="118" t="s">
        <v>2</v>
      </c>
      <c r="C1" s="118"/>
      <c r="D1" s="118"/>
      <c r="E1" s="118"/>
      <c r="F1" s="118"/>
      <c r="G1" s="4"/>
      <c r="H1" s="5"/>
      <c r="J1" s="4"/>
    </row>
    <row r="2" spans="1:13" s="1" customFormat="1">
      <c r="A2" s="3" t="s">
        <v>20</v>
      </c>
      <c r="B2" s="119" t="s">
        <v>9</v>
      </c>
      <c r="C2" s="119"/>
      <c r="D2" s="119"/>
      <c r="E2" s="119"/>
      <c r="F2" s="119"/>
      <c r="G2" s="4"/>
      <c r="H2" s="5"/>
      <c r="J2" s="4"/>
    </row>
    <row r="3" spans="1:13" s="1" customFormat="1" ht="16.5" customHeight="1">
      <c r="A3" s="6"/>
      <c r="B3" s="7" t="s">
        <v>21</v>
      </c>
      <c r="C3" s="7" t="s">
        <v>22</v>
      </c>
      <c r="D3" s="7" t="s">
        <v>23</v>
      </c>
      <c r="E3" s="7" t="s">
        <v>24</v>
      </c>
      <c r="F3" s="7" t="s">
        <v>25</v>
      </c>
      <c r="G3" s="4"/>
      <c r="H3" s="5"/>
      <c r="J3" s="4"/>
    </row>
    <row r="4" spans="1:13" s="1" customFormat="1">
      <c r="A4" s="8" t="s">
        <v>26</v>
      </c>
      <c r="B4" s="9">
        <v>12</v>
      </c>
      <c r="C4" s="9">
        <v>2</v>
      </c>
      <c r="D4" s="6">
        <f>COUNTIF(G12:G26,"Untested")</f>
        <v>0</v>
      </c>
      <c r="E4" s="10">
        <f>COUNTIF(G12:G26,"Blocked")</f>
        <v>0</v>
      </c>
      <c r="F4" s="6">
        <v>14</v>
      </c>
      <c r="G4" s="4"/>
      <c r="H4" s="5"/>
      <c r="J4" s="4"/>
    </row>
    <row r="5" spans="1:13" s="1" customFormat="1">
      <c r="A5" s="8" t="s">
        <v>27</v>
      </c>
      <c r="B5" s="9">
        <v>0</v>
      </c>
      <c r="C5" s="9">
        <v>0</v>
      </c>
      <c r="D5" s="6">
        <f>COUNTIF(J12:J26,"Untested")</f>
        <v>0</v>
      </c>
      <c r="E5" s="10">
        <f>COUNTIF(J12:J26,"Blocked")</f>
        <v>0</v>
      </c>
      <c r="F5" s="6">
        <v>0</v>
      </c>
      <c r="G5" s="4"/>
      <c r="H5" s="11"/>
      <c r="I5" s="12"/>
      <c r="J5" s="4"/>
    </row>
    <row r="6" spans="1:13" s="1" customFormat="1" ht="163.9" customHeight="1">
      <c r="A6" s="13"/>
      <c r="B6" s="14"/>
      <c r="C6" s="14"/>
      <c r="D6" s="15"/>
      <c r="E6" s="16"/>
      <c r="F6" s="15"/>
      <c r="G6" s="4"/>
      <c r="H6" s="11"/>
      <c r="I6" s="12"/>
      <c r="J6" s="4"/>
    </row>
    <row r="7" spans="1:13" s="1" customFormat="1" ht="201" customHeight="1">
      <c r="A7" s="17"/>
      <c r="B7" s="18"/>
      <c r="D7" s="12"/>
      <c r="E7" s="19"/>
      <c r="G7" s="4"/>
      <c r="H7" s="5"/>
      <c r="J7" s="4"/>
    </row>
    <row r="8" spans="1:13" s="1" customFormat="1">
      <c r="A8" s="120" t="s">
        <v>28</v>
      </c>
      <c r="B8" s="120" t="s">
        <v>6</v>
      </c>
      <c r="C8" s="120" t="s">
        <v>29</v>
      </c>
      <c r="D8" s="120" t="s">
        <v>30</v>
      </c>
      <c r="E8" s="120" t="s">
        <v>31</v>
      </c>
      <c r="F8" s="120" t="s">
        <v>32</v>
      </c>
      <c r="G8" s="120" t="s">
        <v>33</v>
      </c>
      <c r="H8" s="120"/>
      <c r="I8" s="120"/>
      <c r="J8" s="120" t="s">
        <v>33</v>
      </c>
      <c r="K8" s="120"/>
      <c r="L8" s="120"/>
      <c r="M8" s="120" t="s">
        <v>34</v>
      </c>
    </row>
    <row r="9" spans="1:13" s="1" customFormat="1">
      <c r="A9" s="120"/>
      <c r="B9" s="120"/>
      <c r="C9" s="120"/>
      <c r="D9" s="120"/>
      <c r="E9" s="120"/>
      <c r="F9" s="120"/>
      <c r="G9" s="120" t="s">
        <v>35</v>
      </c>
      <c r="H9" s="120"/>
      <c r="I9" s="120"/>
      <c r="J9" s="120" t="s">
        <v>36</v>
      </c>
      <c r="K9" s="120"/>
      <c r="L9" s="120"/>
      <c r="M9" s="120"/>
    </row>
    <row r="10" spans="1:13" s="1" customFormat="1" ht="33.75" customHeight="1">
      <c r="A10" s="120"/>
      <c r="B10" s="120"/>
      <c r="C10" s="120"/>
      <c r="D10" s="120"/>
      <c r="E10" s="120"/>
      <c r="F10" s="120"/>
      <c r="G10" s="20" t="s">
        <v>37</v>
      </c>
      <c r="H10" s="21" t="s">
        <v>38</v>
      </c>
      <c r="I10" s="7" t="s">
        <v>39</v>
      </c>
      <c r="J10" s="20" t="s">
        <v>37</v>
      </c>
      <c r="K10" s="21" t="s">
        <v>38</v>
      </c>
      <c r="L10" s="7" t="s">
        <v>39</v>
      </c>
      <c r="M10" s="120"/>
    </row>
    <row r="11" spans="1:13" s="1" customFormat="1" ht="30" customHeight="1">
      <c r="A11" s="121" t="s">
        <v>146</v>
      </c>
      <c r="B11" s="121"/>
      <c r="C11" s="121"/>
      <c r="D11" s="122"/>
      <c r="E11" s="121"/>
      <c r="F11" s="121"/>
      <c r="G11" s="121"/>
      <c r="H11" s="121"/>
      <c r="I11" s="121"/>
      <c r="J11" s="121"/>
      <c r="K11" s="121"/>
      <c r="L11" s="121"/>
      <c r="M11" s="121"/>
    </row>
    <row r="12" spans="1:13" s="1" customFormat="1" ht="50.65" customHeight="1">
      <c r="A12" s="22" t="s">
        <v>147</v>
      </c>
      <c r="B12" s="23" t="s">
        <v>148</v>
      </c>
      <c r="C12" s="24"/>
      <c r="D12" s="6" t="s">
        <v>149</v>
      </c>
      <c r="E12" s="108" t="s">
        <v>150</v>
      </c>
      <c r="F12" s="108" t="s">
        <v>150</v>
      </c>
      <c r="G12" s="26" t="s">
        <v>60</v>
      </c>
      <c r="H12" s="27">
        <v>46117</v>
      </c>
      <c r="I12" s="28" t="s">
        <v>151</v>
      </c>
      <c r="J12" s="24"/>
      <c r="K12" s="24"/>
      <c r="L12" s="24"/>
      <c r="M12" s="24"/>
    </row>
    <row r="13" spans="1:13" s="1" customFormat="1" ht="50.65" customHeight="1">
      <c r="A13" s="22" t="s">
        <v>152</v>
      </c>
      <c r="B13" s="23" t="s">
        <v>153</v>
      </c>
      <c r="C13" s="24"/>
      <c r="D13" s="6" t="s">
        <v>149</v>
      </c>
      <c r="E13" s="108" t="s">
        <v>154</v>
      </c>
      <c r="F13" s="108" t="s">
        <v>154</v>
      </c>
      <c r="G13" s="26" t="s">
        <v>60</v>
      </c>
      <c r="H13" s="27">
        <v>46117</v>
      </c>
      <c r="I13" s="28" t="s">
        <v>151</v>
      </c>
      <c r="J13" s="24"/>
      <c r="K13" s="24"/>
      <c r="L13" s="24"/>
      <c r="M13" s="24"/>
    </row>
    <row r="14" spans="1:13" s="1" customFormat="1" ht="51" customHeight="1">
      <c r="A14" s="22" t="s">
        <v>155</v>
      </c>
      <c r="B14" s="23" t="s">
        <v>156</v>
      </c>
      <c r="C14" s="24"/>
      <c r="D14" s="6" t="s">
        <v>149</v>
      </c>
      <c r="E14" s="108" t="s">
        <v>157</v>
      </c>
      <c r="F14" s="108" t="s">
        <v>157</v>
      </c>
      <c r="G14" s="26" t="s">
        <v>60</v>
      </c>
      <c r="H14" s="27">
        <v>46117</v>
      </c>
      <c r="I14" s="28" t="s">
        <v>151</v>
      </c>
      <c r="J14" s="24"/>
      <c r="K14" s="24"/>
      <c r="L14" s="24"/>
      <c r="M14" s="24"/>
    </row>
    <row r="15" spans="1:13" s="1" customFormat="1" ht="50.15" customHeight="1">
      <c r="A15" s="22" t="s">
        <v>158</v>
      </c>
      <c r="B15" s="23" t="s">
        <v>159</v>
      </c>
      <c r="C15" s="24"/>
      <c r="D15" s="6" t="s">
        <v>149</v>
      </c>
      <c r="E15" s="108" t="s">
        <v>157</v>
      </c>
      <c r="F15" s="108" t="s">
        <v>157</v>
      </c>
      <c r="G15" s="26" t="s">
        <v>60</v>
      </c>
      <c r="H15" s="27">
        <v>46117</v>
      </c>
      <c r="I15" s="28" t="s">
        <v>151</v>
      </c>
      <c r="J15" s="24"/>
      <c r="K15" s="24"/>
      <c r="L15" s="24"/>
      <c r="M15" s="24"/>
    </row>
    <row r="16" spans="1:13" s="1" customFormat="1" ht="50.15" customHeight="1">
      <c r="A16" s="22" t="s">
        <v>160</v>
      </c>
      <c r="B16" s="23" t="s">
        <v>161</v>
      </c>
      <c r="C16" s="24"/>
      <c r="D16" s="6" t="s">
        <v>149</v>
      </c>
      <c r="E16" s="108" t="s">
        <v>162</v>
      </c>
      <c r="F16" s="108" t="s">
        <v>162</v>
      </c>
      <c r="G16" s="26" t="s">
        <v>60</v>
      </c>
      <c r="H16" s="27">
        <v>46117</v>
      </c>
      <c r="I16" s="28" t="s">
        <v>151</v>
      </c>
      <c r="J16" s="24"/>
      <c r="K16" s="24"/>
      <c r="L16" s="24"/>
      <c r="M16" s="24"/>
    </row>
    <row r="17" spans="1:14" s="1" customFormat="1" ht="50.65" customHeight="1">
      <c r="A17" s="22" t="s">
        <v>163</v>
      </c>
      <c r="B17" s="23" t="s">
        <v>164</v>
      </c>
      <c r="C17" s="24"/>
      <c r="D17" s="6" t="s">
        <v>149</v>
      </c>
      <c r="E17" s="108" t="s">
        <v>165</v>
      </c>
      <c r="F17" s="108" t="s">
        <v>166</v>
      </c>
      <c r="G17" s="78" t="s">
        <v>104</v>
      </c>
      <c r="H17" s="27">
        <v>46117</v>
      </c>
      <c r="I17" s="28" t="s">
        <v>151</v>
      </c>
      <c r="J17" s="26" t="s">
        <v>60</v>
      </c>
      <c r="K17" s="27">
        <v>46147</v>
      </c>
      <c r="L17" s="28" t="s">
        <v>151</v>
      </c>
      <c r="M17" s="24"/>
    </row>
    <row r="18" spans="1:14" s="1" customFormat="1" ht="50.65" customHeight="1">
      <c r="A18" s="22" t="s">
        <v>167</v>
      </c>
      <c r="B18" s="23" t="s">
        <v>168</v>
      </c>
      <c r="C18" s="24"/>
      <c r="D18" s="6" t="s">
        <v>149</v>
      </c>
      <c r="E18" s="108" t="s">
        <v>169</v>
      </c>
      <c r="F18" s="108" t="s">
        <v>170</v>
      </c>
      <c r="G18" s="78" t="s">
        <v>104</v>
      </c>
      <c r="H18" s="27">
        <v>46117</v>
      </c>
      <c r="I18" s="28" t="s">
        <v>151</v>
      </c>
      <c r="J18" s="26" t="s">
        <v>60</v>
      </c>
      <c r="K18" s="27">
        <v>46147</v>
      </c>
      <c r="L18" s="28" t="s">
        <v>151</v>
      </c>
      <c r="M18" s="24"/>
    </row>
    <row r="19" spans="1:14" s="1" customFormat="1" ht="30" customHeight="1">
      <c r="A19" s="123" t="s">
        <v>171</v>
      </c>
      <c r="B19" s="123"/>
      <c r="C19" s="123"/>
      <c r="D19" s="124"/>
      <c r="E19" s="123"/>
      <c r="F19" s="123"/>
      <c r="G19" s="123"/>
      <c r="H19" s="123"/>
      <c r="I19" s="123"/>
      <c r="J19" s="123"/>
      <c r="K19" s="123"/>
      <c r="L19" s="123"/>
      <c r="M19" s="123"/>
    </row>
    <row r="20" spans="1:14" s="1" customFormat="1" ht="76.5" customHeight="1">
      <c r="A20" s="135" t="s">
        <v>172</v>
      </c>
      <c r="B20" s="135" t="s">
        <v>173</v>
      </c>
      <c r="C20" s="135" t="s">
        <v>174</v>
      </c>
      <c r="D20" s="136" t="s">
        <v>149</v>
      </c>
      <c r="E20" s="137" t="s">
        <v>175</v>
      </c>
      <c r="F20" s="137" t="s">
        <v>176</v>
      </c>
      <c r="G20" s="26" t="s">
        <v>60</v>
      </c>
      <c r="H20" s="27">
        <v>46117</v>
      </c>
      <c r="I20" s="28" t="s">
        <v>151</v>
      </c>
      <c r="J20" s="24"/>
      <c r="K20" s="24"/>
      <c r="L20" s="24"/>
      <c r="M20" s="24"/>
    </row>
    <row r="21" spans="1:14" ht="79.5" customHeight="1">
      <c r="A21" s="135" t="s">
        <v>177</v>
      </c>
      <c r="B21" s="135" t="s">
        <v>178</v>
      </c>
      <c r="C21" s="135" t="s">
        <v>179</v>
      </c>
      <c r="D21" s="136" t="s">
        <v>149</v>
      </c>
      <c r="E21" s="137" t="s">
        <v>180</v>
      </c>
      <c r="F21" s="137" t="s">
        <v>181</v>
      </c>
      <c r="G21" s="26" t="s">
        <v>60</v>
      </c>
      <c r="H21" s="27">
        <v>46117</v>
      </c>
      <c r="I21" s="28" t="s">
        <v>151</v>
      </c>
      <c r="J21" s="24"/>
      <c r="K21" s="24"/>
      <c r="L21" s="24"/>
      <c r="M21" s="24"/>
      <c r="N21" s="1"/>
    </row>
    <row r="22" spans="1:14" ht="93" customHeight="1">
      <c r="A22" s="135" t="s">
        <v>182</v>
      </c>
      <c r="B22" s="135" t="s">
        <v>183</v>
      </c>
      <c r="C22" s="135" t="s">
        <v>184</v>
      </c>
      <c r="D22" s="136" t="s">
        <v>149</v>
      </c>
      <c r="E22" s="137" t="s">
        <v>185</v>
      </c>
      <c r="F22" s="137" t="s">
        <v>186</v>
      </c>
      <c r="G22" s="26" t="s">
        <v>60</v>
      </c>
      <c r="H22" s="27">
        <v>46117</v>
      </c>
      <c r="I22" s="28" t="s">
        <v>151</v>
      </c>
      <c r="J22" s="24"/>
      <c r="K22" s="24"/>
      <c r="L22" s="24"/>
      <c r="M22" s="24"/>
      <c r="N22" s="1"/>
    </row>
    <row r="23" spans="1:14" ht="93.5" customHeight="1">
      <c r="A23" s="135" t="s">
        <v>187</v>
      </c>
      <c r="B23" s="135" t="s">
        <v>188</v>
      </c>
      <c r="C23" s="135" t="s">
        <v>189</v>
      </c>
      <c r="D23" s="136" t="s">
        <v>149</v>
      </c>
      <c r="E23" s="137" t="s">
        <v>190</v>
      </c>
      <c r="F23" s="137" t="s">
        <v>191</v>
      </c>
      <c r="G23" s="26" t="s">
        <v>60</v>
      </c>
      <c r="H23" s="27">
        <v>46117</v>
      </c>
      <c r="I23" s="28" t="s">
        <v>151</v>
      </c>
      <c r="J23" s="24"/>
      <c r="K23" s="24"/>
      <c r="L23" s="24"/>
      <c r="M23" s="24"/>
      <c r="N23" s="1"/>
    </row>
    <row r="24" spans="1:14" ht="97.5" customHeight="1">
      <c r="A24" s="135" t="s">
        <v>192</v>
      </c>
      <c r="B24" s="135" t="s">
        <v>193</v>
      </c>
      <c r="C24" s="135" t="s">
        <v>194</v>
      </c>
      <c r="D24" s="136" t="s">
        <v>149</v>
      </c>
      <c r="E24" s="137" t="s">
        <v>195</v>
      </c>
      <c r="F24" s="137" t="s">
        <v>196</v>
      </c>
      <c r="G24" s="26" t="s">
        <v>60</v>
      </c>
      <c r="H24" s="27">
        <v>46117</v>
      </c>
      <c r="I24" s="28" t="s">
        <v>151</v>
      </c>
      <c r="J24" s="29"/>
      <c r="K24" s="27"/>
      <c r="L24" s="28"/>
      <c r="M24" s="24"/>
    </row>
    <row r="25" spans="1:14" ht="82.5" customHeight="1">
      <c r="A25" s="135" t="s">
        <v>197</v>
      </c>
      <c r="B25" s="135" t="s">
        <v>198</v>
      </c>
      <c r="C25" s="135" t="s">
        <v>199</v>
      </c>
      <c r="D25" s="136" t="s">
        <v>149</v>
      </c>
      <c r="E25" s="137" t="s">
        <v>200</v>
      </c>
      <c r="F25" s="137" t="s">
        <v>201</v>
      </c>
      <c r="G25" s="26" t="s">
        <v>60</v>
      </c>
      <c r="H25" s="27">
        <v>46117</v>
      </c>
      <c r="I25" s="28" t="s">
        <v>151</v>
      </c>
      <c r="J25" s="29"/>
      <c r="K25" s="27"/>
      <c r="L25" s="28"/>
      <c r="M25" s="24"/>
    </row>
    <row r="26" spans="1:14" ht="92" customHeight="1">
      <c r="A26" s="135" t="s">
        <v>202</v>
      </c>
      <c r="B26" s="135" t="s">
        <v>203</v>
      </c>
      <c r="C26" s="135" t="s">
        <v>204</v>
      </c>
      <c r="D26" s="136" t="s">
        <v>149</v>
      </c>
      <c r="E26" s="137" t="s">
        <v>205</v>
      </c>
      <c r="F26" s="137" t="s">
        <v>206</v>
      </c>
      <c r="G26" s="26" t="s">
        <v>60</v>
      </c>
      <c r="H26" s="27">
        <v>46117</v>
      </c>
      <c r="I26" s="28" t="s">
        <v>151</v>
      </c>
      <c r="J26" s="29"/>
      <c r="K26" s="27"/>
      <c r="L26" s="28"/>
      <c r="M26" s="24"/>
    </row>
    <row r="27" spans="1:14">
      <c r="A27" s="30"/>
      <c r="B27" s="30"/>
      <c r="C27" s="30"/>
      <c r="D27" s="15"/>
      <c r="E27" s="32"/>
      <c r="F27" s="32"/>
      <c r="G27" s="33"/>
      <c r="H27" s="34"/>
      <c r="I27" s="35"/>
      <c r="J27" s="33"/>
      <c r="K27" s="34"/>
      <c r="L27" s="35"/>
      <c r="M27" s="31"/>
    </row>
  </sheetData>
  <mergeCells count="15">
    <mergeCell ref="A11:M11"/>
    <mergeCell ref="A19:M19"/>
    <mergeCell ref="A8:A10"/>
    <mergeCell ref="B8:B10"/>
    <mergeCell ref="C8:C10"/>
    <mergeCell ref="D8:D10"/>
    <mergeCell ref="E8:E10"/>
    <mergeCell ref="F8:F10"/>
    <mergeCell ref="M8:M10"/>
    <mergeCell ref="B1:F1"/>
    <mergeCell ref="B2:F2"/>
    <mergeCell ref="G8:I8"/>
    <mergeCell ref="J8:L8"/>
    <mergeCell ref="G9:I9"/>
    <mergeCell ref="J9:L9"/>
  </mergeCells>
  <dataValidations count="1">
    <dataValidation type="list" allowBlank="1" showErrorMessage="1" promptTitle="dfdf" sqref="G12:G18 G20:G27 J24:J27 J17:J18" xr:uid="{00000000-0002-0000-0200-000000000000}">
      <formula1>"Passed,Untested,Failed,Blocked"</formula1>
    </dataValidation>
  </dataValidation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5"/>
  <sheetViews>
    <sheetView topLeftCell="A27" zoomScale="55" zoomScaleNormal="55" workbookViewId="0">
      <selection activeCell="J46" sqref="J46"/>
    </sheetView>
  </sheetViews>
  <sheetFormatPr defaultColWidth="9" defaultRowHeight="16.5"/>
  <cols>
    <col min="1" max="1" width="21.36328125" style="37" customWidth="1"/>
    <col min="2" max="2" width="20.81640625" style="37" customWidth="1"/>
    <col min="3" max="3" width="20.1796875" style="37" customWidth="1"/>
    <col min="4" max="4" width="19.453125" style="37" customWidth="1"/>
    <col min="5" max="6" width="28.81640625" style="37" customWidth="1"/>
    <col min="7" max="7" width="13.08984375" style="37" customWidth="1"/>
    <col min="8" max="8" width="13.453125" style="37" customWidth="1"/>
    <col min="9" max="9" width="12.36328125" style="37" customWidth="1"/>
    <col min="10" max="10" width="13.54296875" style="37" customWidth="1"/>
    <col min="11" max="11" width="11.6328125" style="37" customWidth="1"/>
    <col min="12" max="12" width="7.26953125" style="37" customWidth="1"/>
    <col min="13" max="13" width="10.7265625" style="37" customWidth="1"/>
    <col min="14" max="16384" width="9" style="37"/>
  </cols>
  <sheetData>
    <row r="1" spans="1:13" s="36" customFormat="1" ht="15.75" customHeight="1">
      <c r="A1" s="38" t="s">
        <v>19</v>
      </c>
      <c r="B1" s="113" t="s">
        <v>2</v>
      </c>
      <c r="C1" s="113"/>
      <c r="D1" s="113"/>
      <c r="E1" s="113"/>
      <c r="F1" s="113"/>
      <c r="G1" s="39"/>
      <c r="H1" s="40"/>
      <c r="J1" s="39"/>
    </row>
    <row r="2" spans="1:13" s="36" customFormat="1">
      <c r="A2" s="38" t="s">
        <v>20</v>
      </c>
      <c r="B2" s="114" t="s">
        <v>11</v>
      </c>
      <c r="C2" s="114"/>
      <c r="D2" s="114"/>
      <c r="E2" s="114"/>
      <c r="F2" s="114"/>
      <c r="G2" s="39"/>
      <c r="H2" s="40"/>
      <c r="J2" s="39"/>
    </row>
    <row r="3" spans="1:13" s="36" customFormat="1" ht="16.5" customHeight="1">
      <c r="A3" s="41"/>
      <c r="B3" s="42" t="s">
        <v>21</v>
      </c>
      <c r="C3" s="42" t="s">
        <v>22</v>
      </c>
      <c r="D3" s="42" t="s">
        <v>23</v>
      </c>
      <c r="E3" s="42" t="s">
        <v>24</v>
      </c>
      <c r="F3" s="42" t="s">
        <v>25</v>
      </c>
      <c r="G3" s="39"/>
      <c r="H3" s="40"/>
      <c r="J3" s="39"/>
    </row>
    <row r="4" spans="1:13" s="36" customFormat="1">
      <c r="A4" s="43" t="s">
        <v>26</v>
      </c>
      <c r="B4" s="44">
        <v>31</v>
      </c>
      <c r="C4" s="44">
        <v>5</v>
      </c>
      <c r="D4" s="41">
        <f>COUNTIF(G33:G35,"Untested")</f>
        <v>0</v>
      </c>
      <c r="E4" s="45">
        <f>COUNTIF(G33:G35,"Blocked")</f>
        <v>0</v>
      </c>
      <c r="F4" s="41">
        <v>36</v>
      </c>
      <c r="G4" s="39"/>
      <c r="H4" s="40"/>
      <c r="J4" s="39"/>
    </row>
    <row r="5" spans="1:13" s="36" customFormat="1">
      <c r="A5" s="43" t="s">
        <v>27</v>
      </c>
      <c r="B5" s="44">
        <v>5</v>
      </c>
      <c r="C5" s="44">
        <v>0</v>
      </c>
      <c r="D5" s="41">
        <f>COUNTIF(J33:J35,"Untested")</f>
        <v>0</v>
      </c>
      <c r="E5" s="45">
        <f>COUNTIF(J33:J35,"Blocked")</f>
        <v>0</v>
      </c>
      <c r="F5" s="41">
        <v>5</v>
      </c>
      <c r="G5" s="39"/>
      <c r="H5" s="40"/>
      <c r="J5" s="39"/>
    </row>
    <row r="6" spans="1:13" s="36" customFormat="1" ht="114" customHeight="1">
      <c r="A6" s="46"/>
      <c r="B6" s="47"/>
      <c r="C6" s="47"/>
      <c r="D6" s="48"/>
      <c r="E6" s="49"/>
      <c r="F6" s="48"/>
      <c r="G6" s="39"/>
      <c r="H6" s="40"/>
      <c r="J6" s="39"/>
    </row>
    <row r="7" spans="1:13" s="36" customFormat="1" ht="409.5" customHeight="1">
      <c r="A7" s="50"/>
      <c r="B7" s="51"/>
      <c r="E7" s="52"/>
      <c r="G7" s="39"/>
      <c r="H7" s="40"/>
      <c r="J7" s="39"/>
    </row>
    <row r="8" spans="1:13" s="36" customFormat="1">
      <c r="A8" s="115" t="s">
        <v>28</v>
      </c>
      <c r="B8" s="115" t="s">
        <v>6</v>
      </c>
      <c r="C8" s="115" t="s">
        <v>29</v>
      </c>
      <c r="D8" s="115" t="s">
        <v>30</v>
      </c>
      <c r="E8" s="115" t="s">
        <v>31</v>
      </c>
      <c r="F8" s="115" t="s">
        <v>32</v>
      </c>
      <c r="G8" s="115" t="s">
        <v>33</v>
      </c>
      <c r="H8" s="115"/>
      <c r="I8" s="115"/>
      <c r="J8" s="115" t="s">
        <v>33</v>
      </c>
      <c r="K8" s="115"/>
      <c r="L8" s="115"/>
      <c r="M8" s="115" t="s">
        <v>34</v>
      </c>
    </row>
    <row r="9" spans="1:13" s="36" customFormat="1">
      <c r="A9" s="115"/>
      <c r="B9" s="115"/>
      <c r="C9" s="115"/>
      <c r="D9" s="115"/>
      <c r="E9" s="115"/>
      <c r="F9" s="115"/>
      <c r="G9" s="115" t="s">
        <v>35</v>
      </c>
      <c r="H9" s="115"/>
      <c r="I9" s="115"/>
      <c r="J9" s="115" t="s">
        <v>36</v>
      </c>
      <c r="K9" s="115"/>
      <c r="L9" s="115"/>
      <c r="M9" s="115"/>
    </row>
    <row r="10" spans="1:13" s="36" customFormat="1" ht="66">
      <c r="A10" s="115"/>
      <c r="B10" s="115"/>
      <c r="C10" s="115"/>
      <c r="D10" s="115"/>
      <c r="E10" s="115"/>
      <c r="F10" s="115"/>
      <c r="G10" s="53" t="s">
        <v>37</v>
      </c>
      <c r="H10" s="54" t="s">
        <v>38</v>
      </c>
      <c r="I10" s="42" t="s">
        <v>39</v>
      </c>
      <c r="J10" s="53" t="s">
        <v>37</v>
      </c>
      <c r="K10" s="54" t="s">
        <v>38</v>
      </c>
      <c r="L10" s="42" t="s">
        <v>39</v>
      </c>
      <c r="M10" s="115"/>
    </row>
    <row r="11" spans="1:13" s="36" customFormat="1" ht="30" customHeight="1">
      <c r="A11" s="116" t="s">
        <v>207</v>
      </c>
      <c r="B11" s="116"/>
      <c r="C11" s="116"/>
      <c r="D11" s="116"/>
      <c r="E11" s="116"/>
      <c r="F11" s="116"/>
      <c r="G11" s="116"/>
      <c r="H11" s="116"/>
      <c r="I11" s="116"/>
      <c r="J11" s="116"/>
      <c r="K11" s="116"/>
      <c r="L11" s="116"/>
      <c r="M11" s="116"/>
    </row>
    <row r="12" spans="1:13" s="36" customFormat="1" ht="43.15" customHeight="1">
      <c r="A12" s="55" t="s">
        <v>208</v>
      </c>
      <c r="B12" s="65" t="s">
        <v>209</v>
      </c>
      <c r="C12" s="68"/>
      <c r="D12" s="79" t="s">
        <v>43</v>
      </c>
      <c r="E12" s="59" t="s">
        <v>44</v>
      </c>
      <c r="F12" s="59" t="s">
        <v>44</v>
      </c>
      <c r="G12" s="130" t="s">
        <v>60</v>
      </c>
      <c r="H12" s="139">
        <v>46148</v>
      </c>
      <c r="I12" s="138" t="s">
        <v>45</v>
      </c>
      <c r="J12" s="43"/>
      <c r="K12" s="43"/>
      <c r="L12" s="43"/>
      <c r="M12" s="80"/>
    </row>
    <row r="13" spans="1:13" s="36" customFormat="1" ht="43.15" customHeight="1">
      <c r="A13" s="55" t="s">
        <v>210</v>
      </c>
      <c r="B13" s="65" t="s">
        <v>211</v>
      </c>
      <c r="C13" s="68"/>
      <c r="D13" s="79" t="s">
        <v>43</v>
      </c>
      <c r="E13" s="59" t="s">
        <v>212</v>
      </c>
      <c r="F13" s="59" t="s">
        <v>213</v>
      </c>
      <c r="G13" s="130" t="s">
        <v>60</v>
      </c>
      <c r="H13" s="139">
        <v>46148</v>
      </c>
      <c r="I13" s="138" t="s">
        <v>45</v>
      </c>
      <c r="J13" s="43"/>
      <c r="K13" s="43"/>
      <c r="L13" s="43"/>
      <c r="M13" s="80"/>
    </row>
    <row r="14" spans="1:13" s="36" customFormat="1" ht="47.25" customHeight="1">
      <c r="A14" s="55" t="s">
        <v>214</v>
      </c>
      <c r="B14" s="65" t="s">
        <v>215</v>
      </c>
      <c r="C14" s="68"/>
      <c r="D14" s="79" t="s">
        <v>43</v>
      </c>
      <c r="E14" s="59" t="s">
        <v>44</v>
      </c>
      <c r="F14" s="59" t="s">
        <v>216</v>
      </c>
      <c r="G14" s="132" t="s">
        <v>104</v>
      </c>
      <c r="H14" s="139">
        <v>46148</v>
      </c>
      <c r="I14" s="138" t="s">
        <v>45</v>
      </c>
      <c r="J14" s="130" t="s">
        <v>60</v>
      </c>
      <c r="K14" s="139">
        <v>46149</v>
      </c>
      <c r="L14" s="41" t="s">
        <v>45</v>
      </c>
      <c r="M14" s="80"/>
    </row>
    <row r="15" spans="1:13" s="36" customFormat="1" ht="42.4" customHeight="1">
      <c r="A15" s="55" t="s">
        <v>217</v>
      </c>
      <c r="B15" s="65" t="s">
        <v>218</v>
      </c>
      <c r="C15" s="68"/>
      <c r="D15" s="79" t="s">
        <v>43</v>
      </c>
      <c r="E15" s="59" t="s">
        <v>44</v>
      </c>
      <c r="F15" s="59" t="s">
        <v>44</v>
      </c>
      <c r="G15" s="130" t="s">
        <v>60</v>
      </c>
      <c r="H15" s="139">
        <v>46148</v>
      </c>
      <c r="I15" s="138" t="s">
        <v>45</v>
      </c>
      <c r="J15" s="43"/>
      <c r="K15" s="43"/>
      <c r="L15" s="43"/>
      <c r="M15" s="80"/>
    </row>
    <row r="16" spans="1:13" s="36" customFormat="1" ht="61.9" customHeight="1">
      <c r="A16" s="55" t="s">
        <v>219</v>
      </c>
      <c r="B16" s="65" t="s">
        <v>81</v>
      </c>
      <c r="C16" s="65"/>
      <c r="D16" s="79" t="s">
        <v>43</v>
      </c>
      <c r="E16" s="65" t="s">
        <v>220</v>
      </c>
      <c r="F16" s="65" t="s">
        <v>220</v>
      </c>
      <c r="G16" s="130" t="s">
        <v>60</v>
      </c>
      <c r="H16" s="139">
        <v>46148</v>
      </c>
      <c r="I16" s="138" t="s">
        <v>45</v>
      </c>
      <c r="J16" s="43"/>
      <c r="K16" s="43"/>
      <c r="L16" s="43"/>
      <c r="M16" s="80"/>
    </row>
    <row r="17" spans="1:13" s="36" customFormat="1" ht="56.25" customHeight="1">
      <c r="A17" s="55" t="s">
        <v>221</v>
      </c>
      <c r="B17" s="65" t="s">
        <v>83</v>
      </c>
      <c r="C17" s="68"/>
      <c r="D17" s="79" t="s">
        <v>43</v>
      </c>
      <c r="E17" s="65" t="s">
        <v>220</v>
      </c>
      <c r="F17" s="65" t="s">
        <v>220</v>
      </c>
      <c r="G17" s="130" t="s">
        <v>60</v>
      </c>
      <c r="H17" s="139">
        <v>46148</v>
      </c>
      <c r="I17" s="138" t="s">
        <v>45</v>
      </c>
      <c r="J17" s="138"/>
      <c r="K17" s="140"/>
      <c r="L17" s="131"/>
      <c r="M17" s="80"/>
    </row>
    <row r="18" spans="1:13" s="36" customFormat="1" ht="43.15" customHeight="1">
      <c r="A18" s="55" t="s">
        <v>222</v>
      </c>
      <c r="B18" s="65" t="s">
        <v>223</v>
      </c>
      <c r="C18" s="68"/>
      <c r="D18" s="79" t="s">
        <v>43</v>
      </c>
      <c r="E18" s="59" t="s">
        <v>44</v>
      </c>
      <c r="F18" s="59" t="s">
        <v>44</v>
      </c>
      <c r="G18" s="130" t="s">
        <v>60</v>
      </c>
      <c r="H18" s="139">
        <v>46148</v>
      </c>
      <c r="I18" s="138" t="s">
        <v>45</v>
      </c>
      <c r="J18" s="43"/>
      <c r="K18" s="43"/>
      <c r="L18" s="43"/>
      <c r="M18" s="80"/>
    </row>
    <row r="19" spans="1:13" s="36" customFormat="1" ht="43.15" customHeight="1">
      <c r="A19" s="55" t="s">
        <v>224</v>
      </c>
      <c r="B19" s="65" t="s">
        <v>225</v>
      </c>
      <c r="C19" s="68"/>
      <c r="D19" s="79" t="s">
        <v>43</v>
      </c>
      <c r="E19" s="59" t="s">
        <v>44</v>
      </c>
      <c r="F19" s="59" t="s">
        <v>44</v>
      </c>
      <c r="G19" s="130" t="s">
        <v>60</v>
      </c>
      <c r="H19" s="139">
        <v>46148</v>
      </c>
      <c r="I19" s="138" t="s">
        <v>45</v>
      </c>
      <c r="J19" s="43"/>
      <c r="K19" s="43"/>
      <c r="L19" s="43"/>
      <c r="M19" s="80"/>
    </row>
    <row r="20" spans="1:13" s="36" customFormat="1" ht="43.15" customHeight="1">
      <c r="A20" s="55" t="s">
        <v>226</v>
      </c>
      <c r="B20" s="65" t="s">
        <v>227</v>
      </c>
      <c r="C20" s="68"/>
      <c r="D20" s="79" t="s">
        <v>43</v>
      </c>
      <c r="E20" s="59" t="s">
        <v>44</v>
      </c>
      <c r="F20" s="59" t="s">
        <v>44</v>
      </c>
      <c r="G20" s="130" t="s">
        <v>60</v>
      </c>
      <c r="H20" s="139">
        <v>46148</v>
      </c>
      <c r="I20" s="138" t="s">
        <v>45</v>
      </c>
      <c r="J20" s="43"/>
      <c r="K20" s="43"/>
      <c r="L20" s="43"/>
      <c r="M20" s="80"/>
    </row>
    <row r="21" spans="1:13" s="36" customFormat="1" ht="43.15" customHeight="1">
      <c r="A21" s="55" t="s">
        <v>228</v>
      </c>
      <c r="B21" s="65" t="s">
        <v>229</v>
      </c>
      <c r="C21" s="68"/>
      <c r="D21" s="79" t="s">
        <v>43</v>
      </c>
      <c r="E21" s="59" t="s">
        <v>44</v>
      </c>
      <c r="F21" s="59" t="s">
        <v>44</v>
      </c>
      <c r="G21" s="130" t="s">
        <v>60</v>
      </c>
      <c r="H21" s="139">
        <v>46148</v>
      </c>
      <c r="I21" s="138" t="s">
        <v>45</v>
      </c>
      <c r="J21" s="43"/>
      <c r="K21" s="43"/>
      <c r="L21" s="43"/>
      <c r="M21" s="80"/>
    </row>
    <row r="22" spans="1:13" s="36" customFormat="1" ht="43.15" customHeight="1">
      <c r="A22" s="55" t="s">
        <v>230</v>
      </c>
      <c r="B22" s="65" t="s">
        <v>231</v>
      </c>
      <c r="C22" s="68"/>
      <c r="D22" s="79" t="s">
        <v>43</v>
      </c>
      <c r="E22" s="59" t="s">
        <v>44</v>
      </c>
      <c r="F22" s="59" t="s">
        <v>44</v>
      </c>
      <c r="G22" s="130" t="s">
        <v>60</v>
      </c>
      <c r="H22" s="139">
        <v>46148</v>
      </c>
      <c r="I22" s="138" t="s">
        <v>45</v>
      </c>
      <c r="J22" s="43"/>
      <c r="K22" s="43"/>
      <c r="L22" s="43"/>
      <c r="M22" s="80"/>
    </row>
    <row r="23" spans="1:13" s="36" customFormat="1" ht="43.15" customHeight="1">
      <c r="A23" s="55" t="s">
        <v>232</v>
      </c>
      <c r="B23" s="65" t="s">
        <v>233</v>
      </c>
      <c r="C23" s="68"/>
      <c r="D23" s="79" t="s">
        <v>43</v>
      </c>
      <c r="E23" s="59" t="s">
        <v>234</v>
      </c>
      <c r="F23" s="59" t="s">
        <v>44</v>
      </c>
      <c r="G23" s="132" t="s">
        <v>104</v>
      </c>
      <c r="H23" s="139">
        <v>46148</v>
      </c>
      <c r="I23" s="138" t="s">
        <v>45</v>
      </c>
      <c r="J23" s="141" t="s">
        <v>60</v>
      </c>
      <c r="K23" s="139">
        <v>46149</v>
      </c>
      <c r="L23" s="41" t="s">
        <v>45</v>
      </c>
      <c r="M23" s="80"/>
    </row>
    <row r="24" spans="1:13" s="36" customFormat="1" ht="43.15" customHeight="1">
      <c r="A24" s="55" t="s">
        <v>235</v>
      </c>
      <c r="B24" s="65" t="s">
        <v>168</v>
      </c>
      <c r="C24" s="68"/>
      <c r="D24" s="79" t="s">
        <v>43</v>
      </c>
      <c r="E24" s="59" t="s">
        <v>236</v>
      </c>
      <c r="F24" s="59" t="s">
        <v>236</v>
      </c>
      <c r="G24" s="130" t="s">
        <v>60</v>
      </c>
      <c r="H24" s="139">
        <v>46148</v>
      </c>
      <c r="I24" s="138" t="s">
        <v>45</v>
      </c>
      <c r="J24" s="43"/>
      <c r="K24" s="43"/>
      <c r="L24" s="43"/>
      <c r="M24" s="80"/>
    </row>
    <row r="25" spans="1:13" s="36" customFormat="1" ht="43.15" customHeight="1">
      <c r="A25" s="55" t="s">
        <v>237</v>
      </c>
      <c r="B25" s="65" t="s">
        <v>238</v>
      </c>
      <c r="C25" s="68"/>
      <c r="D25" s="79" t="s">
        <v>43</v>
      </c>
      <c r="E25" s="59" t="s">
        <v>239</v>
      </c>
      <c r="F25" s="59" t="s">
        <v>239</v>
      </c>
      <c r="G25" s="130" t="s">
        <v>60</v>
      </c>
      <c r="H25" s="139">
        <v>46148</v>
      </c>
      <c r="I25" s="138" t="s">
        <v>45</v>
      </c>
      <c r="J25" s="43"/>
      <c r="K25" s="43"/>
      <c r="L25" s="43"/>
      <c r="M25" s="80"/>
    </row>
    <row r="26" spans="1:13" s="36" customFormat="1" ht="43.15" customHeight="1">
      <c r="A26" s="55" t="s">
        <v>240</v>
      </c>
      <c r="B26" s="65" t="s">
        <v>241</v>
      </c>
      <c r="C26" s="68"/>
      <c r="D26" s="79" t="s">
        <v>43</v>
      </c>
      <c r="E26" s="59" t="s">
        <v>239</v>
      </c>
      <c r="F26" s="59" t="s">
        <v>239</v>
      </c>
      <c r="G26" s="130" t="s">
        <v>60</v>
      </c>
      <c r="H26" s="139">
        <v>46148</v>
      </c>
      <c r="I26" s="138" t="s">
        <v>45</v>
      </c>
      <c r="J26" s="43"/>
      <c r="K26" s="43"/>
      <c r="L26" s="43"/>
      <c r="M26" s="80"/>
    </row>
    <row r="27" spans="1:13" s="36" customFormat="1" ht="43.15" customHeight="1">
      <c r="A27" s="55" t="s">
        <v>242</v>
      </c>
      <c r="B27" s="65" t="s">
        <v>69</v>
      </c>
      <c r="C27" s="68"/>
      <c r="D27" s="79" t="s">
        <v>43</v>
      </c>
      <c r="E27" s="59" t="s">
        <v>243</v>
      </c>
      <c r="F27" s="59" t="s">
        <v>243</v>
      </c>
      <c r="G27" s="130" t="s">
        <v>60</v>
      </c>
      <c r="H27" s="139">
        <v>46148</v>
      </c>
      <c r="I27" s="138" t="s">
        <v>45</v>
      </c>
      <c r="J27" s="43"/>
      <c r="K27" s="43"/>
      <c r="L27" s="43"/>
      <c r="M27" s="80"/>
    </row>
    <row r="28" spans="1:13" s="36" customFormat="1" ht="43.15" customHeight="1">
      <c r="A28" s="55" t="s">
        <v>244</v>
      </c>
      <c r="B28" s="65" t="s">
        <v>245</v>
      </c>
      <c r="C28" s="68"/>
      <c r="D28" s="79" t="s">
        <v>43</v>
      </c>
      <c r="E28" s="59" t="s">
        <v>44</v>
      </c>
      <c r="F28" s="59" t="s">
        <v>212</v>
      </c>
      <c r="G28" s="132" t="s">
        <v>104</v>
      </c>
      <c r="H28" s="139">
        <v>46148</v>
      </c>
      <c r="I28" s="138" t="s">
        <v>45</v>
      </c>
      <c r="J28" s="141" t="s">
        <v>60</v>
      </c>
      <c r="K28" s="139">
        <v>46149</v>
      </c>
      <c r="L28" s="41" t="s">
        <v>45</v>
      </c>
      <c r="M28" s="80"/>
    </row>
    <row r="29" spans="1:13" s="36" customFormat="1" ht="43.15" customHeight="1">
      <c r="A29" s="55" t="s">
        <v>246</v>
      </c>
      <c r="B29" s="65" t="s">
        <v>247</v>
      </c>
      <c r="C29" s="68"/>
      <c r="D29" s="79" t="s">
        <v>43</v>
      </c>
      <c r="E29" s="59" t="s">
        <v>44</v>
      </c>
      <c r="F29" s="59" t="s">
        <v>44</v>
      </c>
      <c r="G29" s="130" t="s">
        <v>60</v>
      </c>
      <c r="H29" s="139">
        <v>46148</v>
      </c>
      <c r="I29" s="138" t="s">
        <v>45</v>
      </c>
      <c r="J29" s="43"/>
      <c r="K29" s="43"/>
      <c r="L29" s="43"/>
      <c r="M29" s="80"/>
    </row>
    <row r="30" spans="1:13" s="36" customFormat="1" ht="48.75" customHeight="1">
      <c r="A30" s="55" t="s">
        <v>248</v>
      </c>
      <c r="B30" s="65" t="s">
        <v>249</v>
      </c>
      <c r="C30" s="65"/>
      <c r="D30" s="79" t="s">
        <v>43</v>
      </c>
      <c r="E30" s="59" t="s">
        <v>44</v>
      </c>
      <c r="F30" s="59" t="s">
        <v>44</v>
      </c>
      <c r="G30" s="130" t="s">
        <v>60</v>
      </c>
      <c r="H30" s="139">
        <v>46148</v>
      </c>
      <c r="I30" s="138" t="s">
        <v>45</v>
      </c>
      <c r="J30" s="138"/>
      <c r="K30" s="140"/>
      <c r="L30" s="131"/>
      <c r="M30" s="80"/>
    </row>
    <row r="31" spans="1:13" s="36" customFormat="1" ht="49.5">
      <c r="A31" s="55" t="s">
        <v>250</v>
      </c>
      <c r="B31" s="65" t="s">
        <v>251</v>
      </c>
      <c r="C31" s="68"/>
      <c r="D31" s="79" t="s">
        <v>43</v>
      </c>
      <c r="E31" s="59" t="s">
        <v>44</v>
      </c>
      <c r="F31" s="59" t="s">
        <v>44</v>
      </c>
      <c r="G31" s="130" t="s">
        <v>60</v>
      </c>
      <c r="H31" s="139">
        <v>46148</v>
      </c>
      <c r="I31" s="138" t="s">
        <v>45</v>
      </c>
      <c r="J31" s="43"/>
      <c r="K31" s="43"/>
      <c r="L31" s="43"/>
      <c r="M31" s="80"/>
    </row>
    <row r="32" spans="1:13" s="36" customFormat="1" ht="49.5">
      <c r="A32" s="55" t="s">
        <v>252</v>
      </c>
      <c r="B32" s="65" t="s">
        <v>253</v>
      </c>
      <c r="C32" s="68"/>
      <c r="D32" s="79" t="s">
        <v>43</v>
      </c>
      <c r="E32" s="59" t="s">
        <v>254</v>
      </c>
      <c r="F32" s="59" t="s">
        <v>254</v>
      </c>
      <c r="G32" s="130" t="s">
        <v>60</v>
      </c>
      <c r="H32" s="139">
        <v>46148</v>
      </c>
      <c r="I32" s="138" t="s">
        <v>45</v>
      </c>
      <c r="J32" s="43"/>
      <c r="K32" s="43"/>
      <c r="L32" s="43"/>
      <c r="M32" s="80"/>
    </row>
    <row r="33" spans="1:22" s="36" customFormat="1" ht="30" customHeight="1">
      <c r="A33" s="117" t="s">
        <v>255</v>
      </c>
      <c r="B33" s="117"/>
      <c r="C33" s="117"/>
      <c r="D33" s="117"/>
      <c r="E33" s="117"/>
      <c r="F33" s="117"/>
      <c r="G33" s="117"/>
      <c r="H33" s="117"/>
      <c r="I33" s="117"/>
      <c r="J33" s="117"/>
      <c r="K33" s="117"/>
      <c r="L33" s="117"/>
      <c r="M33" s="117"/>
    </row>
    <row r="34" spans="1:22" s="36" customFormat="1" ht="231">
      <c r="A34" s="55" t="s">
        <v>256</v>
      </c>
      <c r="B34" s="55" t="s">
        <v>257</v>
      </c>
      <c r="C34" s="55" t="s">
        <v>258</v>
      </c>
      <c r="D34" s="65" t="s">
        <v>43</v>
      </c>
      <c r="E34" s="56" t="s">
        <v>259</v>
      </c>
      <c r="F34" s="56" t="s">
        <v>259</v>
      </c>
      <c r="G34" s="130" t="s">
        <v>60</v>
      </c>
      <c r="H34" s="139">
        <v>46148</v>
      </c>
      <c r="I34" s="131" t="s">
        <v>45</v>
      </c>
      <c r="J34" s="138"/>
      <c r="K34" s="140"/>
      <c r="L34" s="131"/>
      <c r="M34" s="65"/>
      <c r="N34" s="69"/>
      <c r="O34" s="69"/>
      <c r="P34" s="69"/>
      <c r="Q34" s="69"/>
      <c r="R34" s="69"/>
      <c r="S34" s="69"/>
      <c r="T34" s="69"/>
      <c r="U34" s="69"/>
      <c r="V34" s="69"/>
    </row>
    <row r="35" spans="1:22" s="36" customFormat="1" ht="115.5">
      <c r="A35" s="55" t="s">
        <v>260</v>
      </c>
      <c r="B35" s="55" t="s">
        <v>261</v>
      </c>
      <c r="C35" s="55" t="s">
        <v>262</v>
      </c>
      <c r="D35" s="65" t="s">
        <v>43</v>
      </c>
      <c r="E35" s="56" t="s">
        <v>263</v>
      </c>
      <c r="F35" s="56" t="s">
        <v>263</v>
      </c>
      <c r="G35" s="130" t="s">
        <v>60</v>
      </c>
      <c r="H35" s="139">
        <v>46148</v>
      </c>
      <c r="I35" s="131" t="s">
        <v>45</v>
      </c>
      <c r="J35" s="138"/>
      <c r="K35" s="140"/>
      <c r="L35" s="131"/>
      <c r="M35" s="65"/>
      <c r="N35" s="69"/>
      <c r="O35" s="69"/>
      <c r="P35" s="69"/>
      <c r="Q35" s="69"/>
      <c r="R35" s="69"/>
      <c r="S35" s="69"/>
      <c r="T35" s="69"/>
      <c r="U35" s="69"/>
      <c r="V35" s="69"/>
    </row>
    <row r="36" spans="1:22" s="36" customFormat="1" ht="115.5">
      <c r="A36" s="55" t="s">
        <v>264</v>
      </c>
      <c r="B36" s="55" t="s">
        <v>265</v>
      </c>
      <c r="C36" s="55" t="s">
        <v>266</v>
      </c>
      <c r="D36" s="65" t="s">
        <v>43</v>
      </c>
      <c r="E36" s="56" t="s">
        <v>267</v>
      </c>
      <c r="F36" s="56" t="s">
        <v>267</v>
      </c>
      <c r="G36" s="130" t="s">
        <v>60</v>
      </c>
      <c r="H36" s="139">
        <v>46148</v>
      </c>
      <c r="I36" s="131" t="s">
        <v>45</v>
      </c>
      <c r="J36" s="138"/>
      <c r="K36" s="140"/>
      <c r="L36" s="131"/>
      <c r="M36" s="65"/>
      <c r="N36" s="69"/>
      <c r="O36" s="69"/>
      <c r="P36" s="69"/>
      <c r="Q36" s="69"/>
      <c r="R36" s="69"/>
      <c r="S36" s="69"/>
      <c r="T36" s="69"/>
      <c r="U36" s="69"/>
      <c r="V36" s="69"/>
    </row>
    <row r="37" spans="1:22" s="36" customFormat="1" ht="115.5">
      <c r="A37" s="55" t="s">
        <v>268</v>
      </c>
      <c r="B37" s="55" t="s">
        <v>269</v>
      </c>
      <c r="C37" s="55" t="s">
        <v>270</v>
      </c>
      <c r="D37" s="65" t="s">
        <v>43</v>
      </c>
      <c r="E37" s="56" t="s">
        <v>271</v>
      </c>
      <c r="F37" s="56" t="s">
        <v>267</v>
      </c>
      <c r="G37" s="132" t="s">
        <v>104</v>
      </c>
      <c r="H37" s="139">
        <v>46148</v>
      </c>
      <c r="I37" s="131" t="s">
        <v>45</v>
      </c>
      <c r="J37" s="130" t="s">
        <v>60</v>
      </c>
      <c r="K37" s="139">
        <v>46149</v>
      </c>
      <c r="L37" s="131" t="s">
        <v>45</v>
      </c>
      <c r="M37" s="65"/>
      <c r="N37" s="69"/>
      <c r="O37" s="69"/>
      <c r="P37" s="69"/>
      <c r="Q37" s="69"/>
      <c r="R37" s="69"/>
      <c r="S37" s="69"/>
      <c r="T37" s="69"/>
      <c r="U37" s="69"/>
      <c r="V37" s="69"/>
    </row>
    <row r="38" spans="1:22" s="36" customFormat="1" ht="148.5">
      <c r="A38" s="55" t="s">
        <v>272</v>
      </c>
      <c r="B38" s="55" t="s">
        <v>273</v>
      </c>
      <c r="C38" s="55" t="s">
        <v>274</v>
      </c>
      <c r="D38" s="65" t="s">
        <v>43</v>
      </c>
      <c r="E38" s="56" t="s">
        <v>275</v>
      </c>
      <c r="F38" s="56" t="s">
        <v>275</v>
      </c>
      <c r="G38" s="130" t="s">
        <v>60</v>
      </c>
      <c r="H38" s="139">
        <v>46148</v>
      </c>
      <c r="I38" s="131" t="s">
        <v>45</v>
      </c>
      <c r="J38" s="138"/>
      <c r="K38" s="140"/>
      <c r="L38" s="131"/>
      <c r="M38" s="65"/>
      <c r="N38" s="69"/>
      <c r="O38" s="69"/>
      <c r="P38" s="69"/>
      <c r="Q38" s="69"/>
      <c r="R38" s="69"/>
      <c r="S38" s="69"/>
      <c r="T38" s="69"/>
      <c r="U38" s="69"/>
      <c r="V38" s="69"/>
    </row>
    <row r="39" spans="1:22" s="36" customFormat="1" ht="66">
      <c r="A39" s="55" t="s">
        <v>276</v>
      </c>
      <c r="B39" s="55" t="s">
        <v>277</v>
      </c>
      <c r="C39" s="68" t="s">
        <v>278</v>
      </c>
      <c r="D39" s="65" t="s">
        <v>43</v>
      </c>
      <c r="E39" s="56" t="s">
        <v>279</v>
      </c>
      <c r="F39" s="56" t="s">
        <v>280</v>
      </c>
      <c r="G39" s="130" t="s">
        <v>104</v>
      </c>
      <c r="H39" s="139">
        <v>46148</v>
      </c>
      <c r="I39" s="131" t="s">
        <v>45</v>
      </c>
      <c r="J39" s="142"/>
      <c r="K39" s="142"/>
      <c r="L39" s="142"/>
      <c r="M39" s="68"/>
      <c r="N39" s="69"/>
      <c r="O39" s="69"/>
      <c r="P39" s="69"/>
      <c r="Q39" s="69"/>
      <c r="R39" s="69"/>
      <c r="S39" s="69"/>
      <c r="T39" s="69"/>
      <c r="U39" s="69"/>
      <c r="V39" s="69"/>
    </row>
    <row r="40" spans="1:22" s="36" customFormat="1" ht="49.5">
      <c r="A40" s="55" t="s">
        <v>281</v>
      </c>
      <c r="B40" s="55" t="s">
        <v>282</v>
      </c>
      <c r="C40" s="68" t="s">
        <v>283</v>
      </c>
      <c r="D40" s="65" t="s">
        <v>284</v>
      </c>
      <c r="E40" s="68" t="s">
        <v>285</v>
      </c>
      <c r="F40" s="68" t="s">
        <v>285</v>
      </c>
      <c r="G40" s="130" t="s">
        <v>60</v>
      </c>
      <c r="H40" s="139">
        <v>46148</v>
      </c>
      <c r="I40" s="131" t="s">
        <v>45</v>
      </c>
      <c r="J40" s="142"/>
      <c r="K40" s="142"/>
      <c r="L40" s="142"/>
      <c r="M40" s="68"/>
      <c r="N40" s="69"/>
      <c r="O40" s="69"/>
      <c r="P40" s="69"/>
      <c r="Q40" s="69"/>
      <c r="R40" s="69"/>
      <c r="S40" s="69"/>
      <c r="T40" s="69"/>
      <c r="U40" s="69"/>
      <c r="V40" s="69"/>
    </row>
    <row r="41" spans="1:22" s="36" customFormat="1" ht="93.5" customHeight="1">
      <c r="A41" s="55" t="s">
        <v>286</v>
      </c>
      <c r="B41" s="55" t="s">
        <v>287</v>
      </c>
      <c r="C41" s="68" t="s">
        <v>288</v>
      </c>
      <c r="D41" s="65" t="s">
        <v>284</v>
      </c>
      <c r="E41" s="68" t="s">
        <v>289</v>
      </c>
      <c r="F41" s="68" t="s">
        <v>289</v>
      </c>
      <c r="G41" s="130" t="s">
        <v>60</v>
      </c>
      <c r="H41" s="139">
        <v>46148</v>
      </c>
      <c r="I41" s="131" t="s">
        <v>45</v>
      </c>
      <c r="J41" s="142"/>
      <c r="K41" s="142"/>
      <c r="L41" s="142"/>
      <c r="M41" s="68"/>
      <c r="N41" s="69"/>
      <c r="O41" s="69"/>
      <c r="P41" s="69"/>
      <c r="Q41" s="69"/>
      <c r="R41" s="69"/>
      <c r="S41" s="69"/>
      <c r="T41" s="69"/>
      <c r="U41" s="69"/>
      <c r="V41" s="69"/>
    </row>
    <row r="42" spans="1:22" ht="66">
      <c r="A42" s="55" t="s">
        <v>290</v>
      </c>
      <c r="B42" s="55" t="s">
        <v>291</v>
      </c>
      <c r="C42" s="68" t="s">
        <v>292</v>
      </c>
      <c r="D42" s="68" t="s">
        <v>293</v>
      </c>
      <c r="E42" s="68" t="s">
        <v>294</v>
      </c>
      <c r="F42" s="68" t="s">
        <v>294</v>
      </c>
      <c r="G42" s="130" t="s">
        <v>60</v>
      </c>
      <c r="H42" s="139">
        <v>46148</v>
      </c>
      <c r="I42" s="131" t="s">
        <v>45</v>
      </c>
      <c r="J42" s="142"/>
      <c r="K42" s="142"/>
      <c r="L42" s="142"/>
      <c r="M42" s="68"/>
      <c r="N42" s="70"/>
      <c r="O42" s="70"/>
      <c r="P42" s="70"/>
      <c r="Q42" s="70"/>
      <c r="R42" s="70"/>
      <c r="S42" s="70"/>
      <c r="T42" s="70"/>
      <c r="U42" s="70"/>
      <c r="V42" s="70"/>
    </row>
    <row r="43" spans="1:22" ht="66">
      <c r="A43" s="55" t="s">
        <v>295</v>
      </c>
      <c r="B43" s="55" t="s">
        <v>296</v>
      </c>
      <c r="C43" s="68" t="s">
        <v>297</v>
      </c>
      <c r="D43" s="68" t="s">
        <v>298</v>
      </c>
      <c r="E43" s="68" t="s">
        <v>299</v>
      </c>
      <c r="F43" s="68" t="s">
        <v>299</v>
      </c>
      <c r="G43" s="130" t="s">
        <v>60</v>
      </c>
      <c r="H43" s="139">
        <v>46148</v>
      </c>
      <c r="I43" s="131" t="s">
        <v>45</v>
      </c>
      <c r="J43" s="142"/>
      <c r="K43" s="142"/>
      <c r="L43" s="142"/>
      <c r="M43" s="68"/>
      <c r="N43" s="70"/>
      <c r="O43" s="70"/>
      <c r="P43" s="70"/>
      <c r="Q43" s="70"/>
      <c r="R43" s="70"/>
      <c r="S43" s="70"/>
      <c r="T43" s="70"/>
      <c r="U43" s="70"/>
      <c r="V43" s="70"/>
    </row>
    <row r="44" spans="1:22" ht="66">
      <c r="A44" s="55" t="s">
        <v>300</v>
      </c>
      <c r="B44" s="55" t="s">
        <v>301</v>
      </c>
      <c r="C44" s="68" t="s">
        <v>302</v>
      </c>
      <c r="D44" s="68" t="s">
        <v>303</v>
      </c>
      <c r="E44" s="68" t="s">
        <v>304</v>
      </c>
      <c r="F44" s="68" t="s">
        <v>304</v>
      </c>
      <c r="G44" s="130" t="s">
        <v>60</v>
      </c>
      <c r="H44" s="139">
        <v>46148</v>
      </c>
      <c r="I44" s="131" t="s">
        <v>45</v>
      </c>
      <c r="J44" s="142"/>
      <c r="K44" s="142"/>
      <c r="L44" s="142"/>
      <c r="M44" s="68"/>
      <c r="N44" s="70"/>
      <c r="O44" s="70"/>
      <c r="P44" s="70"/>
      <c r="Q44" s="70"/>
      <c r="R44" s="70"/>
      <c r="S44" s="70"/>
      <c r="T44" s="70"/>
      <c r="U44" s="70"/>
      <c r="V44" s="70"/>
    </row>
    <row r="45" spans="1:22" ht="66">
      <c r="A45" s="55" t="s">
        <v>305</v>
      </c>
      <c r="B45" s="55" t="s">
        <v>306</v>
      </c>
      <c r="C45" s="68" t="s">
        <v>307</v>
      </c>
      <c r="D45" s="68" t="s">
        <v>284</v>
      </c>
      <c r="E45" s="68" t="s">
        <v>308</v>
      </c>
      <c r="F45" s="68" t="s">
        <v>308</v>
      </c>
      <c r="G45" s="130" t="s">
        <v>60</v>
      </c>
      <c r="H45" s="139">
        <v>46148</v>
      </c>
      <c r="I45" s="131" t="s">
        <v>45</v>
      </c>
      <c r="J45" s="142"/>
      <c r="K45" s="142"/>
      <c r="L45" s="142"/>
      <c r="M45" s="68"/>
      <c r="N45" s="70"/>
      <c r="O45" s="70"/>
      <c r="P45" s="70"/>
      <c r="Q45" s="70"/>
      <c r="R45" s="70"/>
      <c r="S45" s="70"/>
      <c r="T45" s="70"/>
      <c r="U45" s="70"/>
      <c r="V45" s="70"/>
    </row>
    <row r="46" spans="1:22" ht="49.5">
      <c r="A46" s="55" t="s">
        <v>309</v>
      </c>
      <c r="B46" s="55" t="s">
        <v>310</v>
      </c>
      <c r="C46" s="68" t="s">
        <v>311</v>
      </c>
      <c r="D46" s="68" t="s">
        <v>284</v>
      </c>
      <c r="E46" s="81" t="s">
        <v>312</v>
      </c>
      <c r="F46" s="81" t="s">
        <v>313</v>
      </c>
      <c r="G46" s="143" t="s">
        <v>104</v>
      </c>
      <c r="H46" s="139">
        <v>46148</v>
      </c>
      <c r="I46" s="131" t="s">
        <v>45</v>
      </c>
      <c r="J46" s="130" t="s">
        <v>60</v>
      </c>
      <c r="K46" s="139">
        <v>46149</v>
      </c>
      <c r="L46" s="131" t="s">
        <v>45</v>
      </c>
      <c r="M46" s="68"/>
      <c r="N46" s="70"/>
      <c r="O46" s="70"/>
      <c r="P46" s="70"/>
      <c r="Q46" s="70"/>
      <c r="R46" s="70"/>
      <c r="S46" s="70"/>
      <c r="T46" s="70"/>
      <c r="U46" s="70"/>
      <c r="V46" s="70"/>
    </row>
    <row r="47" spans="1:22" ht="66">
      <c r="A47" s="55" t="s">
        <v>314</v>
      </c>
      <c r="B47" s="55" t="s">
        <v>111</v>
      </c>
      <c r="C47" s="68" t="s">
        <v>315</v>
      </c>
      <c r="D47" s="68" t="s">
        <v>284</v>
      </c>
      <c r="E47" s="68" t="s">
        <v>113</v>
      </c>
      <c r="F47" s="81" t="s">
        <v>113</v>
      </c>
      <c r="G47" s="130" t="s">
        <v>60</v>
      </c>
      <c r="H47" s="139">
        <v>46148</v>
      </c>
      <c r="I47" s="131" t="s">
        <v>45</v>
      </c>
      <c r="J47" s="142"/>
      <c r="K47" s="142"/>
      <c r="L47" s="142"/>
      <c r="M47" s="68"/>
      <c r="N47" s="70"/>
      <c r="O47" s="70"/>
      <c r="P47" s="70"/>
      <c r="Q47" s="70"/>
      <c r="R47" s="70"/>
      <c r="S47" s="70"/>
      <c r="T47" s="70"/>
      <c r="U47" s="70"/>
      <c r="V47" s="70"/>
    </row>
    <row r="48" spans="1:22" ht="66">
      <c r="A48" s="55" t="s">
        <v>316</v>
      </c>
      <c r="B48" s="55" t="s">
        <v>317</v>
      </c>
      <c r="C48" s="68" t="s">
        <v>318</v>
      </c>
      <c r="D48" s="81" t="s">
        <v>319</v>
      </c>
      <c r="E48" s="81" t="s">
        <v>320</v>
      </c>
      <c r="F48" s="81" t="s">
        <v>320</v>
      </c>
      <c r="G48" s="130" t="s">
        <v>60</v>
      </c>
      <c r="H48" s="139">
        <v>46148</v>
      </c>
      <c r="I48" s="131" t="s">
        <v>45</v>
      </c>
      <c r="J48" s="142"/>
      <c r="K48" s="142"/>
      <c r="L48" s="142"/>
      <c r="M48" s="68"/>
      <c r="N48" s="70"/>
      <c r="O48" s="70"/>
      <c r="P48" s="70"/>
      <c r="Q48" s="70"/>
      <c r="R48" s="70"/>
      <c r="S48" s="70"/>
      <c r="T48" s="70"/>
      <c r="U48" s="70"/>
      <c r="V48" s="70"/>
    </row>
    <row r="49" spans="1:22">
      <c r="A49" s="70"/>
      <c r="B49" s="70"/>
      <c r="C49" s="70"/>
      <c r="D49" s="70"/>
      <c r="E49" s="70"/>
      <c r="F49" s="70"/>
      <c r="G49" s="70"/>
      <c r="H49" s="70"/>
      <c r="I49" s="70"/>
      <c r="J49" s="70"/>
      <c r="K49" s="70"/>
      <c r="L49" s="70"/>
      <c r="M49" s="70"/>
      <c r="N49" s="70"/>
      <c r="O49" s="70"/>
      <c r="P49" s="70"/>
      <c r="Q49" s="70"/>
      <c r="R49" s="70"/>
      <c r="S49" s="70"/>
      <c r="T49" s="70"/>
      <c r="U49" s="70"/>
      <c r="V49" s="70"/>
    </row>
    <row r="50" spans="1:22">
      <c r="A50" s="70"/>
      <c r="B50" s="70"/>
      <c r="C50" s="70"/>
      <c r="D50" s="70"/>
      <c r="E50" s="70"/>
      <c r="F50" s="70"/>
      <c r="G50" s="70"/>
      <c r="H50" s="70"/>
      <c r="I50" s="70"/>
      <c r="J50" s="70"/>
      <c r="K50" s="70"/>
      <c r="L50" s="70"/>
      <c r="M50" s="70"/>
      <c r="N50" s="70"/>
      <c r="O50" s="70"/>
      <c r="P50" s="70"/>
      <c r="Q50" s="70"/>
      <c r="R50" s="70"/>
      <c r="S50" s="70"/>
      <c r="T50" s="70"/>
      <c r="U50" s="70"/>
      <c r="V50" s="70"/>
    </row>
    <row r="51" spans="1:22">
      <c r="A51" s="70"/>
      <c r="B51" s="70"/>
      <c r="C51" s="70"/>
      <c r="D51" s="70"/>
      <c r="E51" s="70"/>
      <c r="F51" s="70"/>
      <c r="G51" s="70"/>
      <c r="H51" s="70"/>
      <c r="I51" s="70"/>
      <c r="J51" s="70"/>
      <c r="K51" s="70"/>
      <c r="L51" s="70"/>
      <c r="M51" s="70"/>
      <c r="N51" s="70"/>
      <c r="O51" s="70"/>
      <c r="P51" s="70"/>
      <c r="Q51" s="70"/>
      <c r="R51" s="70"/>
      <c r="S51" s="70"/>
      <c r="T51" s="70"/>
      <c r="U51" s="70"/>
      <c r="V51" s="70"/>
    </row>
    <row r="52" spans="1:22">
      <c r="A52" s="70"/>
      <c r="B52" s="70"/>
      <c r="C52" s="70"/>
      <c r="D52" s="70"/>
      <c r="E52" s="70"/>
      <c r="F52" s="70"/>
      <c r="G52" s="70"/>
      <c r="H52" s="70"/>
      <c r="I52" s="70"/>
      <c r="J52" s="70"/>
      <c r="K52" s="70"/>
      <c r="L52" s="70"/>
      <c r="M52" s="70"/>
      <c r="N52" s="70"/>
      <c r="O52" s="70"/>
      <c r="P52" s="70"/>
      <c r="Q52" s="70"/>
      <c r="R52" s="70"/>
      <c r="S52" s="70"/>
      <c r="T52" s="70"/>
      <c r="U52" s="70"/>
      <c r="V52" s="70"/>
    </row>
    <row r="53" spans="1:22">
      <c r="A53" s="70"/>
      <c r="B53" s="70"/>
      <c r="C53" s="70"/>
      <c r="D53" s="70"/>
      <c r="E53" s="70"/>
      <c r="F53" s="70"/>
      <c r="G53" s="70"/>
      <c r="H53" s="70"/>
      <c r="I53" s="70"/>
      <c r="J53" s="70"/>
      <c r="K53" s="70"/>
      <c r="L53" s="70"/>
      <c r="M53" s="70"/>
      <c r="N53" s="70"/>
      <c r="O53" s="70"/>
      <c r="P53" s="70"/>
      <c r="Q53" s="70"/>
      <c r="R53" s="70"/>
      <c r="S53" s="70"/>
      <c r="T53" s="70"/>
      <c r="U53" s="70"/>
      <c r="V53" s="70"/>
    </row>
    <row r="54" spans="1:22">
      <c r="A54" s="70"/>
      <c r="B54" s="70"/>
      <c r="C54" s="70"/>
      <c r="D54" s="70"/>
      <c r="E54" s="70"/>
      <c r="F54" s="70"/>
      <c r="G54" s="70"/>
      <c r="H54" s="70"/>
      <c r="I54" s="70"/>
      <c r="J54" s="70"/>
      <c r="K54" s="70"/>
      <c r="L54" s="70"/>
      <c r="M54" s="70"/>
      <c r="N54" s="70"/>
      <c r="O54" s="70"/>
      <c r="P54" s="70"/>
      <c r="Q54" s="70"/>
      <c r="R54" s="70"/>
      <c r="S54" s="70"/>
      <c r="T54" s="70"/>
      <c r="U54" s="70"/>
      <c r="V54" s="70"/>
    </row>
    <row r="55" spans="1:22">
      <c r="A55" s="70"/>
      <c r="B55" s="70"/>
      <c r="C55" s="70"/>
      <c r="D55" s="70"/>
      <c r="E55" s="70"/>
      <c r="F55" s="70"/>
      <c r="G55" s="70"/>
      <c r="H55" s="70"/>
      <c r="I55" s="70"/>
      <c r="J55" s="70"/>
      <c r="K55" s="70"/>
      <c r="L55" s="70"/>
      <c r="M55" s="70"/>
      <c r="N55" s="70"/>
      <c r="O55" s="70"/>
      <c r="P55" s="70"/>
      <c r="Q55" s="70"/>
      <c r="R55" s="70"/>
      <c r="S55" s="70"/>
      <c r="T55" s="70"/>
      <c r="U55" s="70"/>
      <c r="V55" s="70"/>
    </row>
    <row r="56" spans="1:22">
      <c r="A56" s="70"/>
      <c r="B56" s="70"/>
      <c r="C56" s="70"/>
      <c r="D56" s="70"/>
      <c r="E56" s="70"/>
      <c r="F56" s="70"/>
      <c r="G56" s="70"/>
      <c r="H56" s="70"/>
      <c r="I56" s="70"/>
      <c r="J56" s="70"/>
      <c r="K56" s="70"/>
      <c r="L56" s="70"/>
      <c r="M56" s="70"/>
      <c r="N56" s="70"/>
      <c r="O56" s="70"/>
      <c r="P56" s="70"/>
      <c r="Q56" s="70"/>
      <c r="R56" s="70"/>
      <c r="S56" s="70"/>
      <c r="T56" s="70"/>
      <c r="U56" s="70"/>
      <c r="V56" s="70"/>
    </row>
    <row r="57" spans="1:22">
      <c r="A57" s="70"/>
      <c r="B57" s="70"/>
      <c r="C57" s="70"/>
      <c r="D57" s="70"/>
      <c r="E57" s="70"/>
      <c r="F57" s="70"/>
      <c r="G57" s="70"/>
      <c r="H57" s="70"/>
      <c r="I57" s="70"/>
      <c r="J57" s="70"/>
      <c r="K57" s="70"/>
      <c r="L57" s="70"/>
      <c r="M57" s="70"/>
      <c r="N57" s="70"/>
      <c r="O57" s="70"/>
      <c r="P57" s="70"/>
      <c r="Q57" s="70"/>
      <c r="R57" s="70"/>
      <c r="S57" s="70"/>
      <c r="T57" s="70"/>
      <c r="U57" s="70"/>
      <c r="V57" s="70"/>
    </row>
    <row r="58" spans="1:22">
      <c r="A58" s="70"/>
      <c r="B58" s="70"/>
      <c r="C58" s="70"/>
      <c r="D58" s="70"/>
      <c r="E58" s="70"/>
      <c r="F58" s="70"/>
      <c r="G58" s="70"/>
      <c r="H58" s="70"/>
      <c r="I58" s="70"/>
      <c r="J58" s="70"/>
      <c r="K58" s="70"/>
      <c r="L58" s="70"/>
      <c r="M58" s="70"/>
      <c r="N58" s="70"/>
      <c r="O58" s="70"/>
      <c r="P58" s="70"/>
      <c r="Q58" s="70"/>
      <c r="R58" s="70"/>
      <c r="S58" s="70"/>
      <c r="T58" s="70"/>
      <c r="U58" s="70"/>
      <c r="V58" s="70"/>
    </row>
    <row r="59" spans="1:22">
      <c r="A59" s="70"/>
      <c r="B59" s="70"/>
      <c r="C59" s="70"/>
      <c r="D59" s="70"/>
      <c r="E59" s="70"/>
      <c r="F59" s="70"/>
      <c r="G59" s="70"/>
      <c r="H59" s="70"/>
      <c r="I59" s="70"/>
      <c r="J59" s="70"/>
      <c r="K59" s="70"/>
      <c r="L59" s="70"/>
      <c r="M59" s="70"/>
      <c r="N59" s="70"/>
      <c r="O59" s="70"/>
      <c r="P59" s="70"/>
      <c r="Q59" s="70"/>
      <c r="R59" s="70"/>
      <c r="S59" s="70"/>
      <c r="T59" s="70"/>
      <c r="U59" s="70"/>
      <c r="V59" s="70"/>
    </row>
    <row r="60" spans="1:22">
      <c r="A60" s="70"/>
      <c r="B60" s="70"/>
      <c r="C60" s="70"/>
      <c r="D60" s="70"/>
      <c r="E60" s="70"/>
      <c r="F60" s="70"/>
      <c r="G60" s="70"/>
      <c r="H60" s="70"/>
      <c r="I60" s="70"/>
      <c r="J60" s="70"/>
      <c r="K60" s="70"/>
      <c r="L60" s="70"/>
      <c r="M60" s="70"/>
      <c r="N60" s="70"/>
      <c r="O60" s="70"/>
      <c r="P60" s="70"/>
      <c r="Q60" s="70"/>
      <c r="R60" s="70"/>
      <c r="S60" s="70"/>
      <c r="T60" s="70"/>
      <c r="U60" s="70"/>
      <c r="V60" s="70"/>
    </row>
    <row r="61" spans="1:22">
      <c r="A61" s="70"/>
      <c r="B61" s="70"/>
      <c r="C61" s="70"/>
      <c r="D61" s="70"/>
      <c r="E61" s="70"/>
      <c r="F61" s="70"/>
      <c r="G61" s="70"/>
      <c r="H61" s="70"/>
      <c r="I61" s="70"/>
      <c r="J61" s="70"/>
      <c r="K61" s="70"/>
      <c r="L61" s="70"/>
      <c r="M61" s="70"/>
      <c r="N61" s="70"/>
      <c r="O61" s="70"/>
      <c r="P61" s="70"/>
      <c r="Q61" s="70"/>
      <c r="R61" s="70"/>
      <c r="S61" s="70"/>
      <c r="T61" s="70"/>
      <c r="U61" s="70"/>
      <c r="V61" s="70"/>
    </row>
    <row r="62" spans="1:22">
      <c r="A62" s="70"/>
      <c r="B62" s="70"/>
      <c r="C62" s="70"/>
      <c r="D62" s="70"/>
      <c r="E62" s="70"/>
      <c r="F62" s="70"/>
      <c r="G62" s="70"/>
      <c r="H62" s="70"/>
      <c r="I62" s="70"/>
      <c r="J62" s="70"/>
      <c r="K62" s="70"/>
      <c r="L62" s="70"/>
      <c r="M62" s="70"/>
      <c r="N62" s="70"/>
      <c r="O62" s="70"/>
      <c r="P62" s="70"/>
      <c r="Q62" s="70"/>
      <c r="R62" s="70"/>
      <c r="S62" s="70"/>
      <c r="T62" s="70"/>
      <c r="U62" s="70"/>
      <c r="V62" s="70"/>
    </row>
    <row r="63" spans="1:22">
      <c r="A63" s="70"/>
      <c r="B63" s="70"/>
      <c r="C63" s="70"/>
      <c r="D63" s="70"/>
      <c r="E63" s="70"/>
      <c r="F63" s="70"/>
      <c r="G63" s="70"/>
      <c r="H63" s="70"/>
      <c r="I63" s="70"/>
      <c r="J63" s="70"/>
      <c r="K63" s="70"/>
      <c r="L63" s="70"/>
      <c r="M63" s="70"/>
      <c r="N63" s="70"/>
      <c r="O63" s="70"/>
      <c r="P63" s="70"/>
      <c r="Q63" s="70"/>
      <c r="R63" s="70"/>
      <c r="S63" s="70"/>
      <c r="T63" s="70"/>
      <c r="U63" s="70"/>
      <c r="V63" s="70"/>
    </row>
    <row r="64" spans="1:22">
      <c r="A64" s="70"/>
      <c r="B64" s="70"/>
      <c r="C64" s="70"/>
      <c r="D64" s="70"/>
      <c r="E64" s="70"/>
      <c r="F64" s="70"/>
      <c r="G64" s="70"/>
      <c r="H64" s="70"/>
      <c r="I64" s="70"/>
      <c r="J64" s="70"/>
      <c r="K64" s="70"/>
      <c r="L64" s="70"/>
      <c r="M64" s="70"/>
      <c r="N64" s="70"/>
      <c r="O64" s="70"/>
      <c r="P64" s="70"/>
      <c r="Q64" s="70"/>
      <c r="R64" s="70"/>
      <c r="S64" s="70"/>
      <c r="T64" s="70"/>
      <c r="U64" s="70"/>
      <c r="V64" s="70"/>
    </row>
    <row r="65" spans="1:22">
      <c r="A65" s="70"/>
      <c r="B65" s="70"/>
      <c r="C65" s="70"/>
      <c r="D65" s="70"/>
      <c r="E65" s="70"/>
      <c r="F65" s="70"/>
      <c r="G65" s="70"/>
      <c r="H65" s="70"/>
      <c r="I65" s="70"/>
      <c r="J65" s="70"/>
      <c r="K65" s="70"/>
      <c r="L65" s="70"/>
      <c r="M65" s="70"/>
      <c r="N65" s="70"/>
      <c r="O65" s="70"/>
      <c r="P65" s="70"/>
      <c r="Q65" s="70"/>
      <c r="R65" s="70"/>
      <c r="S65" s="70"/>
      <c r="T65" s="70"/>
      <c r="U65" s="70"/>
      <c r="V65" s="70"/>
    </row>
    <row r="66" spans="1:22">
      <c r="A66" s="70"/>
      <c r="B66" s="70"/>
      <c r="C66" s="70"/>
      <c r="D66" s="70"/>
      <c r="E66" s="70"/>
      <c r="F66" s="70"/>
      <c r="G66" s="70"/>
      <c r="H66" s="70"/>
      <c r="I66" s="70"/>
      <c r="J66" s="70"/>
      <c r="K66" s="70"/>
      <c r="L66" s="70"/>
      <c r="M66" s="70"/>
      <c r="N66" s="70"/>
      <c r="O66" s="70"/>
      <c r="P66" s="70"/>
      <c r="Q66" s="70"/>
      <c r="R66" s="70"/>
      <c r="S66" s="70"/>
      <c r="T66" s="70"/>
      <c r="U66" s="70"/>
      <c r="V66" s="70"/>
    </row>
    <row r="67" spans="1:22">
      <c r="A67" s="70"/>
      <c r="B67" s="70"/>
      <c r="C67" s="70"/>
      <c r="D67" s="70"/>
      <c r="E67" s="70"/>
      <c r="F67" s="70"/>
      <c r="G67" s="70"/>
      <c r="H67" s="70"/>
      <c r="I67" s="70"/>
      <c r="J67" s="70"/>
      <c r="K67" s="70"/>
      <c r="L67" s="70"/>
      <c r="M67" s="70"/>
      <c r="N67" s="70"/>
      <c r="O67" s="70"/>
      <c r="P67" s="70"/>
      <c r="Q67" s="70"/>
      <c r="R67" s="70"/>
      <c r="S67" s="70"/>
      <c r="T67" s="70"/>
      <c r="U67" s="70"/>
      <c r="V67" s="70"/>
    </row>
    <row r="68" spans="1:22">
      <c r="A68" s="70"/>
      <c r="B68" s="70"/>
      <c r="C68" s="70"/>
      <c r="D68" s="70"/>
      <c r="E68" s="70"/>
      <c r="F68" s="70"/>
      <c r="G68" s="70"/>
      <c r="H68" s="70"/>
      <c r="I68" s="70"/>
      <c r="J68" s="70"/>
      <c r="K68" s="70"/>
      <c r="L68" s="70"/>
      <c r="M68" s="70"/>
      <c r="N68" s="70"/>
      <c r="O68" s="70"/>
      <c r="P68" s="70"/>
      <c r="Q68" s="70"/>
      <c r="R68" s="70"/>
      <c r="S68" s="70"/>
      <c r="T68" s="70"/>
      <c r="U68" s="70"/>
      <c r="V68" s="70"/>
    </row>
    <row r="69" spans="1:22">
      <c r="A69" s="70"/>
      <c r="B69" s="70"/>
      <c r="C69" s="70"/>
      <c r="D69" s="70"/>
      <c r="E69" s="70"/>
      <c r="F69" s="70"/>
      <c r="G69" s="70"/>
      <c r="H69" s="70"/>
      <c r="I69" s="70"/>
      <c r="J69" s="70"/>
      <c r="K69" s="70"/>
      <c r="L69" s="70"/>
      <c r="M69" s="70"/>
      <c r="N69" s="70"/>
      <c r="O69" s="70"/>
      <c r="P69" s="70"/>
      <c r="Q69" s="70"/>
      <c r="R69" s="70"/>
      <c r="S69" s="70"/>
      <c r="T69" s="70"/>
      <c r="U69" s="70"/>
      <c r="V69" s="70"/>
    </row>
    <row r="70" spans="1:22">
      <c r="A70" s="70"/>
      <c r="B70" s="70"/>
      <c r="C70" s="70"/>
      <c r="D70" s="70"/>
      <c r="E70" s="70"/>
      <c r="F70" s="70"/>
      <c r="G70" s="70"/>
      <c r="H70" s="70"/>
      <c r="I70" s="70"/>
      <c r="J70" s="70"/>
      <c r="K70" s="70"/>
      <c r="L70" s="70"/>
      <c r="M70" s="70"/>
      <c r="N70" s="70"/>
      <c r="O70" s="70"/>
      <c r="P70" s="70"/>
      <c r="Q70" s="70"/>
      <c r="R70" s="70"/>
      <c r="S70" s="70"/>
      <c r="T70" s="70"/>
      <c r="U70" s="70"/>
      <c r="V70" s="70"/>
    </row>
    <row r="71" spans="1:22">
      <c r="A71" s="70"/>
      <c r="B71" s="70"/>
      <c r="C71" s="70"/>
      <c r="D71" s="70"/>
      <c r="E71" s="70"/>
      <c r="F71" s="70"/>
      <c r="G71" s="70"/>
      <c r="H71" s="70"/>
      <c r="I71" s="70"/>
      <c r="J71" s="70"/>
      <c r="K71" s="70"/>
      <c r="L71" s="70"/>
      <c r="M71" s="70"/>
      <c r="N71" s="70"/>
      <c r="O71" s="70"/>
      <c r="P71" s="70"/>
      <c r="Q71" s="70"/>
      <c r="R71" s="70"/>
      <c r="S71" s="70"/>
      <c r="T71" s="70"/>
      <c r="U71" s="70"/>
      <c r="V71" s="70"/>
    </row>
    <row r="72" spans="1:22">
      <c r="A72" s="70"/>
      <c r="B72" s="70"/>
      <c r="C72" s="70"/>
      <c r="D72" s="70"/>
      <c r="E72" s="70"/>
      <c r="F72" s="70"/>
      <c r="G72" s="70"/>
      <c r="H72" s="70"/>
      <c r="I72" s="70"/>
      <c r="J72" s="70"/>
      <c r="K72" s="70"/>
      <c r="L72" s="70"/>
      <c r="M72" s="70"/>
      <c r="N72" s="70"/>
      <c r="O72" s="70"/>
      <c r="P72" s="70"/>
      <c r="Q72" s="70"/>
      <c r="R72" s="70"/>
      <c r="S72" s="70"/>
      <c r="T72" s="70"/>
      <c r="U72" s="70"/>
      <c r="V72" s="70"/>
    </row>
    <row r="73" spans="1:22">
      <c r="A73" s="70"/>
      <c r="B73" s="70"/>
      <c r="C73" s="70"/>
      <c r="D73" s="70"/>
      <c r="E73" s="70"/>
      <c r="F73" s="70"/>
      <c r="G73" s="70"/>
      <c r="H73" s="70"/>
      <c r="I73" s="70"/>
      <c r="J73" s="70"/>
      <c r="K73" s="70"/>
      <c r="L73" s="70"/>
      <c r="M73" s="70"/>
      <c r="N73" s="70"/>
      <c r="O73" s="70"/>
      <c r="P73" s="70"/>
      <c r="Q73" s="70"/>
      <c r="R73" s="70"/>
      <c r="S73" s="70"/>
      <c r="T73" s="70"/>
      <c r="U73" s="70"/>
      <c r="V73" s="70"/>
    </row>
    <row r="74" spans="1:22">
      <c r="A74" s="70"/>
      <c r="B74" s="70"/>
      <c r="C74" s="70"/>
      <c r="D74" s="70"/>
      <c r="E74" s="70"/>
      <c r="F74" s="70"/>
      <c r="G74" s="70"/>
      <c r="H74" s="70"/>
      <c r="I74" s="70"/>
      <c r="J74" s="70"/>
      <c r="K74" s="70"/>
      <c r="L74" s="70"/>
      <c r="M74" s="70"/>
      <c r="N74" s="70"/>
      <c r="O74" s="70"/>
      <c r="P74" s="70"/>
      <c r="Q74" s="70"/>
      <c r="R74" s="70"/>
      <c r="S74" s="70"/>
      <c r="T74" s="70"/>
      <c r="U74" s="70"/>
      <c r="V74" s="70"/>
    </row>
    <row r="75" spans="1:22">
      <c r="A75" s="70"/>
      <c r="B75" s="70"/>
      <c r="C75" s="70"/>
      <c r="D75" s="70"/>
      <c r="E75" s="70"/>
      <c r="F75" s="70"/>
      <c r="G75" s="70"/>
      <c r="H75" s="70"/>
      <c r="I75" s="70"/>
      <c r="J75" s="70"/>
      <c r="K75" s="70"/>
      <c r="L75" s="70"/>
      <c r="M75" s="70"/>
      <c r="N75" s="70"/>
      <c r="O75" s="70"/>
      <c r="P75" s="70"/>
      <c r="Q75" s="70"/>
      <c r="R75" s="70"/>
      <c r="S75" s="70"/>
      <c r="T75" s="70"/>
      <c r="U75" s="70"/>
      <c r="V75" s="70"/>
    </row>
  </sheetData>
  <mergeCells count="15">
    <mergeCell ref="A11:M11"/>
    <mergeCell ref="A33:M33"/>
    <mergeCell ref="A8:A10"/>
    <mergeCell ref="B8:B10"/>
    <mergeCell ref="C8:C10"/>
    <mergeCell ref="D8:D10"/>
    <mergeCell ref="E8:E10"/>
    <mergeCell ref="F8:F10"/>
    <mergeCell ref="M8:M10"/>
    <mergeCell ref="B1:F1"/>
    <mergeCell ref="B2:F2"/>
    <mergeCell ref="G8:I8"/>
    <mergeCell ref="J8:L8"/>
    <mergeCell ref="G9:I9"/>
    <mergeCell ref="J9:L9"/>
  </mergeCells>
  <dataValidations count="1">
    <dataValidation type="list" allowBlank="1" showErrorMessage="1" promptTitle="dfdf" sqref="J17 J30 J46 G34:G45 G47:G48 J34:J38" xr:uid="{00000000-0002-0000-0300-000000000000}">
      <formula1>"Passed,Untested,Failed,Blocked"</formula1>
    </dataValidation>
  </dataValidation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7"/>
  <sheetViews>
    <sheetView topLeftCell="A32" zoomScale="40" zoomScaleNormal="40" workbookViewId="0">
      <selection activeCell="D49" sqref="D49"/>
    </sheetView>
  </sheetViews>
  <sheetFormatPr defaultColWidth="9" defaultRowHeight="16.5"/>
  <cols>
    <col min="1" max="1" width="23.26953125" style="2" customWidth="1"/>
    <col min="2" max="2" width="54.453125" style="2" customWidth="1"/>
    <col min="3" max="3" width="34.26953125" style="2" customWidth="1"/>
    <col min="4" max="4" width="38.08984375" style="2" customWidth="1"/>
    <col min="5" max="5" width="37" style="2" customWidth="1"/>
    <col min="6" max="6" width="36.36328125" style="2" customWidth="1"/>
    <col min="7" max="7" width="13.81640625" style="2" customWidth="1"/>
    <col min="8" max="8" width="18.26953125" style="2" customWidth="1"/>
    <col min="9" max="9" width="27.81640625" style="2" customWidth="1"/>
    <col min="10" max="10" width="13.81640625" style="2" customWidth="1"/>
    <col min="11" max="11" width="18.26953125" style="2" customWidth="1"/>
    <col min="12" max="12" width="28" style="2" customWidth="1"/>
    <col min="13" max="13" width="11" style="2" customWidth="1"/>
    <col min="14" max="16384" width="9" style="2"/>
  </cols>
  <sheetData>
    <row r="1" spans="1:13" s="1" customFormat="1" ht="15.75" customHeight="1">
      <c r="A1" s="71" t="s">
        <v>19</v>
      </c>
      <c r="B1" s="118" t="s">
        <v>2</v>
      </c>
      <c r="C1" s="118"/>
      <c r="D1" s="118"/>
      <c r="E1" s="118"/>
      <c r="F1" s="118"/>
      <c r="G1" s="4"/>
      <c r="H1" s="5"/>
      <c r="J1" s="4"/>
    </row>
    <row r="2" spans="1:13" s="1" customFormat="1">
      <c r="A2" s="71" t="s">
        <v>20</v>
      </c>
      <c r="B2" s="119" t="s">
        <v>13</v>
      </c>
      <c r="C2" s="119"/>
      <c r="D2" s="119"/>
      <c r="E2" s="119"/>
      <c r="F2" s="119"/>
      <c r="G2" s="4"/>
      <c r="H2" s="5"/>
      <c r="J2" s="4"/>
    </row>
    <row r="3" spans="1:13" s="1" customFormat="1" ht="16.5" customHeight="1">
      <c r="A3" s="6"/>
      <c r="B3" s="72" t="s">
        <v>21</v>
      </c>
      <c r="C3" s="72" t="s">
        <v>22</v>
      </c>
      <c r="D3" s="72" t="s">
        <v>23</v>
      </c>
      <c r="E3" s="72" t="s">
        <v>24</v>
      </c>
      <c r="F3" s="72" t="s">
        <v>25</v>
      </c>
      <c r="G3" s="4"/>
      <c r="H3" s="5"/>
      <c r="J3" s="4"/>
    </row>
    <row r="4" spans="1:13" s="1" customFormat="1">
      <c r="A4" s="6" t="s">
        <v>26</v>
      </c>
      <c r="B4" s="9">
        <v>22</v>
      </c>
      <c r="C4" s="9">
        <v>0</v>
      </c>
      <c r="D4" s="6">
        <f>COUNTIF(G12:G36,"Untested")</f>
        <v>0</v>
      </c>
      <c r="E4" s="10">
        <f>COUNTIF(G12:G36,"Blocked")</f>
        <v>0</v>
      </c>
      <c r="F4" s="6">
        <v>24</v>
      </c>
      <c r="G4" s="4"/>
      <c r="H4" s="5"/>
      <c r="J4" s="4"/>
    </row>
    <row r="5" spans="1:13" s="1" customFormat="1">
      <c r="A5" s="6" t="s">
        <v>27</v>
      </c>
      <c r="B5" s="9">
        <v>2</v>
      </c>
      <c r="C5" s="9">
        <v>0</v>
      </c>
      <c r="D5" s="6">
        <f>COUNTIF(J12:J36,"Untested")</f>
        <v>0</v>
      </c>
      <c r="E5" s="10">
        <f>COUNTIF(J12:J36,"Blocked")</f>
        <v>0</v>
      </c>
      <c r="F5" s="6">
        <v>2</v>
      </c>
      <c r="G5" s="4"/>
      <c r="H5" s="11"/>
      <c r="I5" s="12"/>
      <c r="J5" s="4"/>
    </row>
    <row r="6" spans="1:13" s="1" customFormat="1" ht="329" customHeight="1">
      <c r="A6" s="15"/>
      <c r="B6" s="14"/>
      <c r="C6" s="14"/>
      <c r="D6" s="15"/>
      <c r="E6" s="16"/>
      <c r="F6" s="15"/>
      <c r="G6" s="4"/>
      <c r="H6" s="11"/>
      <c r="I6" s="12"/>
      <c r="J6" s="4"/>
    </row>
    <row r="7" spans="1:13" s="1" customFormat="1" ht="30" customHeight="1">
      <c r="B7" s="18"/>
      <c r="E7" s="19"/>
      <c r="G7" s="4"/>
      <c r="H7" s="5"/>
      <c r="J7" s="4"/>
    </row>
    <row r="8" spans="1:13" s="1" customFormat="1">
      <c r="A8" s="125" t="s">
        <v>28</v>
      </c>
      <c r="B8" s="125" t="s">
        <v>6</v>
      </c>
      <c r="C8" s="125" t="s">
        <v>29</v>
      </c>
      <c r="D8" s="125" t="s">
        <v>30</v>
      </c>
      <c r="E8" s="125" t="s">
        <v>31</v>
      </c>
      <c r="F8" s="125" t="s">
        <v>32</v>
      </c>
      <c r="G8" s="125" t="s">
        <v>33</v>
      </c>
      <c r="H8" s="125"/>
      <c r="I8" s="125"/>
      <c r="J8" s="125" t="s">
        <v>33</v>
      </c>
      <c r="K8" s="125"/>
      <c r="L8" s="125"/>
      <c r="M8" s="125" t="s">
        <v>34</v>
      </c>
    </row>
    <row r="9" spans="1:13" s="1" customFormat="1">
      <c r="A9" s="125"/>
      <c r="B9" s="125"/>
      <c r="C9" s="125"/>
      <c r="D9" s="125"/>
      <c r="E9" s="125"/>
      <c r="F9" s="125"/>
      <c r="G9" s="125" t="s">
        <v>35</v>
      </c>
      <c r="H9" s="125"/>
      <c r="I9" s="125"/>
      <c r="J9" s="125" t="s">
        <v>36</v>
      </c>
      <c r="K9" s="125"/>
      <c r="L9" s="125"/>
      <c r="M9" s="125"/>
    </row>
    <row r="10" spans="1:13" s="1" customFormat="1" ht="33.75" customHeight="1">
      <c r="A10" s="125"/>
      <c r="B10" s="125"/>
      <c r="C10" s="125"/>
      <c r="D10" s="125"/>
      <c r="E10" s="125"/>
      <c r="F10" s="125"/>
      <c r="G10" s="73" t="s">
        <v>37</v>
      </c>
      <c r="H10" s="74" t="s">
        <v>38</v>
      </c>
      <c r="I10" s="72" t="s">
        <v>39</v>
      </c>
      <c r="J10" s="73" t="s">
        <v>37</v>
      </c>
      <c r="K10" s="74" t="s">
        <v>38</v>
      </c>
      <c r="L10" s="72" t="s">
        <v>39</v>
      </c>
      <c r="M10" s="125"/>
    </row>
    <row r="11" spans="1:13" s="1" customFormat="1" ht="30" customHeight="1">
      <c r="A11" s="121" t="s">
        <v>321</v>
      </c>
      <c r="B11" s="126"/>
      <c r="C11" s="126"/>
      <c r="D11" s="126"/>
      <c r="E11" s="126"/>
      <c r="F11" s="126"/>
      <c r="G11" s="126"/>
      <c r="H11" s="126"/>
      <c r="I11" s="126"/>
      <c r="J11" s="126"/>
      <c r="K11" s="126"/>
      <c r="L11" s="126"/>
      <c r="M11" s="126"/>
    </row>
    <row r="12" spans="1:13" s="1" customFormat="1" ht="50.65" customHeight="1">
      <c r="A12" s="75" t="s">
        <v>322</v>
      </c>
      <c r="B12" s="76" t="s">
        <v>323</v>
      </c>
      <c r="C12" s="24"/>
      <c r="D12" s="24" t="s">
        <v>324</v>
      </c>
      <c r="E12" s="108" t="s">
        <v>150</v>
      </c>
      <c r="F12" s="108" t="s">
        <v>150</v>
      </c>
      <c r="G12" s="26" t="s">
        <v>60</v>
      </c>
      <c r="H12" s="27">
        <v>46239</v>
      </c>
      <c r="I12" s="28" t="s">
        <v>151</v>
      </c>
      <c r="J12" s="24"/>
      <c r="K12" s="24"/>
      <c r="L12" s="24"/>
      <c r="M12" s="24"/>
    </row>
    <row r="13" spans="1:13" s="1" customFormat="1" ht="50.65" customHeight="1">
      <c r="A13" s="75" t="s">
        <v>325</v>
      </c>
      <c r="B13" s="76" t="s">
        <v>326</v>
      </c>
      <c r="C13" s="24"/>
      <c r="D13" s="24" t="s">
        <v>324</v>
      </c>
      <c r="E13" s="109" t="s">
        <v>327</v>
      </c>
      <c r="F13" s="109" t="s">
        <v>327</v>
      </c>
      <c r="G13" s="26" t="s">
        <v>60</v>
      </c>
      <c r="H13" s="27">
        <v>46239</v>
      </c>
      <c r="I13" s="28" t="s">
        <v>151</v>
      </c>
      <c r="J13" s="24"/>
      <c r="K13" s="24"/>
      <c r="L13" s="24"/>
      <c r="M13" s="24"/>
    </row>
    <row r="14" spans="1:13" s="1" customFormat="1" ht="51" customHeight="1">
      <c r="A14" s="75" t="s">
        <v>328</v>
      </c>
      <c r="B14" s="76" t="s">
        <v>329</v>
      </c>
      <c r="C14" s="24"/>
      <c r="D14" s="24" t="s">
        <v>324</v>
      </c>
      <c r="E14" s="109" t="s">
        <v>330</v>
      </c>
      <c r="F14" s="109" t="s">
        <v>330</v>
      </c>
      <c r="G14" s="26" t="s">
        <v>60</v>
      </c>
      <c r="H14" s="27">
        <v>46239</v>
      </c>
      <c r="I14" s="28" t="s">
        <v>151</v>
      </c>
      <c r="J14" s="24"/>
      <c r="K14" s="24"/>
      <c r="L14" s="24"/>
      <c r="M14" s="24"/>
    </row>
    <row r="15" spans="1:13" s="1" customFormat="1" ht="50.15" customHeight="1">
      <c r="A15" s="75" t="s">
        <v>331</v>
      </c>
      <c r="B15" s="76" t="s">
        <v>332</v>
      </c>
      <c r="C15" s="24"/>
      <c r="D15" s="24" t="s">
        <v>324</v>
      </c>
      <c r="E15" s="109" t="s">
        <v>333</v>
      </c>
      <c r="F15" s="109" t="s">
        <v>333</v>
      </c>
      <c r="G15" s="26" t="s">
        <v>60</v>
      </c>
      <c r="H15" s="27">
        <v>46239</v>
      </c>
      <c r="I15" s="28" t="s">
        <v>151</v>
      </c>
      <c r="J15" s="24"/>
      <c r="K15" s="24"/>
      <c r="L15" s="24"/>
      <c r="M15" s="24"/>
    </row>
    <row r="16" spans="1:13" s="1" customFormat="1" ht="50.15" customHeight="1">
      <c r="A16" s="75" t="s">
        <v>334</v>
      </c>
      <c r="B16" s="76" t="s">
        <v>335</v>
      </c>
      <c r="C16" s="24"/>
      <c r="D16" s="24" t="s">
        <v>324</v>
      </c>
      <c r="E16" s="109" t="s">
        <v>336</v>
      </c>
      <c r="F16" s="109" t="s">
        <v>336</v>
      </c>
      <c r="G16" s="26" t="s">
        <v>60</v>
      </c>
      <c r="H16" s="27">
        <v>46239</v>
      </c>
      <c r="I16" s="28" t="s">
        <v>151</v>
      </c>
      <c r="J16" s="24"/>
      <c r="K16" s="24"/>
      <c r="L16" s="24"/>
      <c r="M16" s="24"/>
    </row>
    <row r="17" spans="1:14" s="1" customFormat="1" ht="50.65" customHeight="1">
      <c r="A17" s="75" t="s">
        <v>337</v>
      </c>
      <c r="B17" s="76" t="s">
        <v>338</v>
      </c>
      <c r="C17" s="24"/>
      <c r="D17" s="24" t="s">
        <v>324</v>
      </c>
      <c r="E17" s="109" t="s">
        <v>339</v>
      </c>
      <c r="F17" s="109" t="s">
        <v>339</v>
      </c>
      <c r="G17" s="26" t="s">
        <v>60</v>
      </c>
      <c r="H17" s="27">
        <v>46239</v>
      </c>
      <c r="I17" s="28" t="s">
        <v>151</v>
      </c>
      <c r="J17" s="24"/>
      <c r="K17" s="24"/>
      <c r="L17" s="24"/>
      <c r="M17" s="24"/>
    </row>
    <row r="18" spans="1:14" s="1" customFormat="1" ht="50.65" customHeight="1">
      <c r="A18" s="75" t="s">
        <v>340</v>
      </c>
      <c r="B18" s="76" t="s">
        <v>341</v>
      </c>
      <c r="C18" s="24"/>
      <c r="D18" s="24" t="s">
        <v>324</v>
      </c>
      <c r="E18" s="109" t="s">
        <v>342</v>
      </c>
      <c r="F18" s="109" t="s">
        <v>342</v>
      </c>
      <c r="G18" s="26" t="s">
        <v>60</v>
      </c>
      <c r="H18" s="27">
        <v>46239</v>
      </c>
      <c r="I18" s="28" t="s">
        <v>151</v>
      </c>
      <c r="J18" s="24"/>
      <c r="K18" s="24"/>
      <c r="L18" s="24"/>
      <c r="M18" s="24"/>
    </row>
    <row r="19" spans="1:14" s="1" customFormat="1" ht="50.65" customHeight="1">
      <c r="A19" s="75" t="s">
        <v>343</v>
      </c>
      <c r="B19" s="76" t="s">
        <v>344</v>
      </c>
      <c r="C19" s="24"/>
      <c r="D19" s="24" t="s">
        <v>324</v>
      </c>
      <c r="E19" s="109" t="s">
        <v>345</v>
      </c>
      <c r="F19" s="109" t="s">
        <v>345</v>
      </c>
      <c r="G19" s="26" t="s">
        <v>60</v>
      </c>
      <c r="H19" s="27">
        <v>46239</v>
      </c>
      <c r="I19" s="28" t="s">
        <v>151</v>
      </c>
      <c r="J19" s="24"/>
      <c r="K19" s="24"/>
      <c r="L19" s="24"/>
      <c r="M19" s="24"/>
    </row>
    <row r="20" spans="1:14" s="1" customFormat="1" ht="50.15" customHeight="1">
      <c r="A20" s="75" t="s">
        <v>346</v>
      </c>
      <c r="B20" s="76" t="s">
        <v>347</v>
      </c>
      <c r="C20" s="24"/>
      <c r="D20" s="24" t="s">
        <v>324</v>
      </c>
      <c r="E20" s="109" t="s">
        <v>348</v>
      </c>
      <c r="F20" s="109" t="s">
        <v>348</v>
      </c>
      <c r="G20" s="26" t="s">
        <v>60</v>
      </c>
      <c r="H20" s="27">
        <v>46239</v>
      </c>
      <c r="I20" s="28" t="s">
        <v>151</v>
      </c>
      <c r="J20" s="29"/>
      <c r="K20" s="27"/>
      <c r="L20" s="28"/>
      <c r="M20" s="24"/>
    </row>
    <row r="21" spans="1:14" s="1" customFormat="1" ht="49.5">
      <c r="A21" s="75" t="s">
        <v>349</v>
      </c>
      <c r="B21" s="76" t="s">
        <v>350</v>
      </c>
      <c r="C21" s="24"/>
      <c r="D21" s="24" t="s">
        <v>324</v>
      </c>
      <c r="E21" s="109" t="s">
        <v>351</v>
      </c>
      <c r="F21" s="109" t="s">
        <v>351</v>
      </c>
      <c r="G21" s="26" t="s">
        <v>60</v>
      </c>
      <c r="H21" s="27">
        <v>46239</v>
      </c>
      <c r="I21" s="28" t="s">
        <v>151</v>
      </c>
      <c r="J21" s="29"/>
      <c r="K21" s="27"/>
      <c r="L21" s="28"/>
      <c r="M21" s="24"/>
    </row>
    <row r="22" spans="1:14" s="1" customFormat="1" ht="40" customHeight="1">
      <c r="A22" s="75" t="s">
        <v>352</v>
      </c>
      <c r="B22" s="77" t="s">
        <v>353</v>
      </c>
      <c r="C22" s="77"/>
      <c r="D22" s="24" t="s">
        <v>324</v>
      </c>
      <c r="E22" s="110" t="s">
        <v>354</v>
      </c>
      <c r="F22" s="110" t="s">
        <v>354</v>
      </c>
      <c r="G22" s="26" t="s">
        <v>60</v>
      </c>
      <c r="H22" s="27">
        <v>46239</v>
      </c>
      <c r="I22" s="28" t="s">
        <v>151</v>
      </c>
      <c r="J22" s="77"/>
      <c r="K22" s="77"/>
      <c r="L22" s="77"/>
      <c r="M22" s="77"/>
    </row>
    <row r="23" spans="1:14" s="1" customFormat="1" ht="30" customHeight="1">
      <c r="A23" s="75" t="s">
        <v>355</v>
      </c>
      <c r="B23" s="77" t="s">
        <v>356</v>
      </c>
      <c r="C23" s="77"/>
      <c r="D23" s="24" t="s">
        <v>324</v>
      </c>
      <c r="E23" s="110" t="s">
        <v>357</v>
      </c>
      <c r="F23" s="110" t="s">
        <v>357</v>
      </c>
      <c r="G23" s="26" t="s">
        <v>60</v>
      </c>
      <c r="H23" s="27">
        <v>46239</v>
      </c>
      <c r="I23" s="28" t="s">
        <v>151</v>
      </c>
      <c r="J23" s="77"/>
      <c r="K23" s="77"/>
      <c r="L23" s="77"/>
      <c r="M23" s="77"/>
    </row>
    <row r="24" spans="1:14" s="1" customFormat="1" ht="33">
      <c r="A24" s="75" t="s">
        <v>358</v>
      </c>
      <c r="B24" s="77" t="s">
        <v>359</v>
      </c>
      <c r="C24" s="77"/>
      <c r="D24" s="24" t="s">
        <v>324</v>
      </c>
      <c r="E24" s="110" t="s">
        <v>360</v>
      </c>
      <c r="F24" s="110" t="s">
        <v>360</v>
      </c>
      <c r="G24" s="26" t="s">
        <v>60</v>
      </c>
      <c r="H24" s="27">
        <v>46239</v>
      </c>
      <c r="I24" s="28" t="s">
        <v>151</v>
      </c>
      <c r="J24" s="77"/>
      <c r="K24" s="77"/>
      <c r="L24" s="77"/>
      <c r="M24" s="77"/>
    </row>
    <row r="25" spans="1:14" s="1" customFormat="1" ht="66">
      <c r="A25" s="75" t="s">
        <v>361</v>
      </c>
      <c r="B25" s="77" t="s">
        <v>362</v>
      </c>
      <c r="C25" s="77"/>
      <c r="D25" s="24" t="s">
        <v>324</v>
      </c>
      <c r="E25" s="110" t="s">
        <v>363</v>
      </c>
      <c r="F25" s="110" t="s">
        <v>363</v>
      </c>
      <c r="G25" s="26" t="s">
        <v>60</v>
      </c>
      <c r="H25" s="27">
        <v>46239</v>
      </c>
      <c r="I25" s="28" t="s">
        <v>151</v>
      </c>
      <c r="J25" s="77"/>
      <c r="K25" s="77"/>
      <c r="L25" s="77"/>
      <c r="M25" s="77"/>
    </row>
    <row r="26" spans="1:14" s="1" customFormat="1" ht="49.5">
      <c r="A26" s="75" t="s">
        <v>364</v>
      </c>
      <c r="B26" s="77" t="s">
        <v>365</v>
      </c>
      <c r="C26" s="77"/>
      <c r="D26" s="24" t="s">
        <v>324</v>
      </c>
      <c r="E26" s="110" t="s">
        <v>366</v>
      </c>
      <c r="F26" s="110" t="s">
        <v>366</v>
      </c>
      <c r="G26" s="26" t="s">
        <v>60</v>
      </c>
      <c r="H26" s="27">
        <v>46239</v>
      </c>
      <c r="I26" s="28" t="s">
        <v>151</v>
      </c>
      <c r="J26" s="77"/>
      <c r="K26" s="77"/>
      <c r="L26" s="77"/>
      <c r="M26" s="77"/>
    </row>
    <row r="27" spans="1:14" s="1" customFormat="1" ht="33">
      <c r="A27" s="75" t="s">
        <v>367</v>
      </c>
      <c r="B27" s="77" t="s">
        <v>368</v>
      </c>
      <c r="C27" s="77"/>
      <c r="D27" s="24" t="s">
        <v>324</v>
      </c>
      <c r="E27" s="110" t="s">
        <v>369</v>
      </c>
      <c r="F27" s="110" t="s">
        <v>369</v>
      </c>
      <c r="G27" s="26" t="s">
        <v>60</v>
      </c>
      <c r="H27" s="27">
        <v>46239</v>
      </c>
      <c r="I27" s="28" t="s">
        <v>151</v>
      </c>
      <c r="J27" s="77"/>
      <c r="K27" s="77"/>
      <c r="L27" s="77"/>
      <c r="M27" s="77"/>
    </row>
    <row r="28" spans="1:14" s="1" customFormat="1" ht="30" customHeight="1">
      <c r="A28" s="75" t="s">
        <v>370</v>
      </c>
      <c r="B28" s="77" t="s">
        <v>371</v>
      </c>
      <c r="C28" s="77"/>
      <c r="D28" s="24" t="s">
        <v>324</v>
      </c>
      <c r="E28" s="110" t="s">
        <v>372</v>
      </c>
      <c r="F28" s="110" t="s">
        <v>372</v>
      </c>
      <c r="G28" s="26" t="s">
        <v>60</v>
      </c>
      <c r="H28" s="27">
        <v>46239</v>
      </c>
      <c r="I28" s="28" t="s">
        <v>151</v>
      </c>
      <c r="J28" s="77"/>
      <c r="K28" s="77"/>
      <c r="L28" s="77"/>
      <c r="M28" s="77"/>
    </row>
    <row r="29" spans="1:14" s="1" customFormat="1" ht="30" customHeight="1">
      <c r="A29" s="123" t="s">
        <v>373</v>
      </c>
      <c r="B29" s="127"/>
      <c r="C29" s="127"/>
      <c r="D29" s="127"/>
      <c r="E29" s="127"/>
      <c r="F29" s="127"/>
      <c r="G29" s="127"/>
      <c r="H29" s="127"/>
      <c r="I29" s="127"/>
      <c r="J29" s="127"/>
      <c r="K29" s="127"/>
      <c r="L29" s="127"/>
      <c r="M29" s="127"/>
    </row>
    <row r="30" spans="1:14" s="1" customFormat="1" ht="61.5" customHeight="1">
      <c r="A30" s="135" t="s">
        <v>374</v>
      </c>
      <c r="B30" s="135" t="s">
        <v>375</v>
      </c>
      <c r="C30" s="135" t="s">
        <v>376</v>
      </c>
      <c r="D30" s="144" t="s">
        <v>324</v>
      </c>
      <c r="E30" s="137" t="s">
        <v>377</v>
      </c>
      <c r="F30" s="137" t="s">
        <v>378</v>
      </c>
      <c r="G30" s="26" t="s">
        <v>60</v>
      </c>
      <c r="H30" s="27">
        <v>46239</v>
      </c>
      <c r="I30" s="28" t="s">
        <v>151</v>
      </c>
      <c r="J30" s="24"/>
      <c r="K30" s="24"/>
      <c r="L30" s="24"/>
      <c r="M30" s="24"/>
    </row>
    <row r="31" spans="1:14" ht="72" customHeight="1">
      <c r="A31" s="135" t="s">
        <v>379</v>
      </c>
      <c r="B31" s="135" t="s">
        <v>380</v>
      </c>
      <c r="C31" s="135" t="s">
        <v>381</v>
      </c>
      <c r="D31" s="144" t="s">
        <v>324</v>
      </c>
      <c r="E31" s="137" t="s">
        <v>382</v>
      </c>
      <c r="F31" s="137" t="s">
        <v>383</v>
      </c>
      <c r="G31" s="26" t="s">
        <v>60</v>
      </c>
      <c r="H31" s="27">
        <v>46239</v>
      </c>
      <c r="I31" s="28" t="s">
        <v>151</v>
      </c>
      <c r="J31" s="24"/>
      <c r="K31" s="24"/>
      <c r="L31" s="24"/>
      <c r="M31" s="24"/>
      <c r="N31" s="1"/>
    </row>
    <row r="32" spans="1:14" ht="94" customHeight="1">
      <c r="A32" s="135" t="s">
        <v>384</v>
      </c>
      <c r="B32" s="135" t="s">
        <v>385</v>
      </c>
      <c r="C32" s="135" t="s">
        <v>386</v>
      </c>
      <c r="D32" s="144" t="s">
        <v>324</v>
      </c>
      <c r="E32" s="137" t="s">
        <v>387</v>
      </c>
      <c r="F32" s="137" t="s">
        <v>387</v>
      </c>
      <c r="G32" s="26" t="s">
        <v>60</v>
      </c>
      <c r="H32" s="27">
        <v>46239</v>
      </c>
      <c r="I32" s="28" t="s">
        <v>151</v>
      </c>
      <c r="J32" s="24"/>
      <c r="K32" s="24"/>
      <c r="L32" s="24"/>
      <c r="M32" s="24"/>
      <c r="N32" s="1"/>
    </row>
    <row r="33" spans="1:14" ht="101" customHeight="1">
      <c r="A33" s="135" t="s">
        <v>388</v>
      </c>
      <c r="B33" s="135" t="s">
        <v>389</v>
      </c>
      <c r="C33" s="135" t="s">
        <v>390</v>
      </c>
      <c r="D33" s="144" t="s">
        <v>324</v>
      </c>
      <c r="E33" s="137" t="s">
        <v>391</v>
      </c>
      <c r="F33" s="137" t="s">
        <v>391</v>
      </c>
      <c r="G33" s="26" t="s">
        <v>60</v>
      </c>
      <c r="H33" s="27">
        <v>46239</v>
      </c>
      <c r="I33" s="28" t="s">
        <v>151</v>
      </c>
      <c r="J33" s="24"/>
      <c r="K33" s="24"/>
      <c r="L33" s="24"/>
      <c r="M33" s="24"/>
      <c r="N33" s="1"/>
    </row>
    <row r="34" spans="1:14" ht="96" customHeight="1">
      <c r="A34" s="135" t="s">
        <v>392</v>
      </c>
      <c r="B34" s="135" t="s">
        <v>393</v>
      </c>
      <c r="C34" s="135" t="s">
        <v>394</v>
      </c>
      <c r="D34" s="144" t="s">
        <v>324</v>
      </c>
      <c r="E34" s="137" t="s">
        <v>395</v>
      </c>
      <c r="F34" s="137" t="s">
        <v>396</v>
      </c>
      <c r="G34" s="26" t="s">
        <v>60</v>
      </c>
      <c r="H34" s="27">
        <v>46239</v>
      </c>
      <c r="I34" s="28" t="s">
        <v>151</v>
      </c>
      <c r="J34" s="24"/>
      <c r="K34" s="24"/>
      <c r="L34" s="24"/>
      <c r="M34" s="24"/>
      <c r="N34" s="1"/>
    </row>
    <row r="35" spans="1:14" ht="87.5" customHeight="1">
      <c r="A35" s="135" t="s">
        <v>397</v>
      </c>
      <c r="B35" s="135" t="s">
        <v>398</v>
      </c>
      <c r="C35" s="135" t="s">
        <v>399</v>
      </c>
      <c r="D35" s="144" t="s">
        <v>324</v>
      </c>
      <c r="E35" s="137" t="s">
        <v>400</v>
      </c>
      <c r="F35" s="137" t="s">
        <v>401</v>
      </c>
      <c r="G35" s="78" t="s">
        <v>104</v>
      </c>
      <c r="H35" s="27">
        <v>46239</v>
      </c>
      <c r="I35" s="28" t="s">
        <v>151</v>
      </c>
      <c r="J35" s="26" t="s">
        <v>60</v>
      </c>
      <c r="K35" s="27">
        <v>46270</v>
      </c>
      <c r="L35" s="28" t="s">
        <v>151</v>
      </c>
      <c r="M35" s="24"/>
    </row>
    <row r="36" spans="1:14" ht="101" customHeight="1">
      <c r="A36" s="135" t="s">
        <v>402</v>
      </c>
      <c r="B36" s="135" t="s">
        <v>403</v>
      </c>
      <c r="C36" s="135" t="s">
        <v>404</v>
      </c>
      <c r="D36" s="144" t="s">
        <v>324</v>
      </c>
      <c r="E36" s="137" t="s">
        <v>405</v>
      </c>
      <c r="F36" s="137" t="s">
        <v>406</v>
      </c>
      <c r="G36" s="78" t="s">
        <v>104</v>
      </c>
      <c r="H36" s="27">
        <v>46239</v>
      </c>
      <c r="I36" s="28" t="s">
        <v>151</v>
      </c>
      <c r="J36" s="26" t="s">
        <v>60</v>
      </c>
      <c r="K36" s="27">
        <v>46270</v>
      </c>
      <c r="L36" s="28" t="s">
        <v>151</v>
      </c>
      <c r="M36" s="24"/>
    </row>
    <row r="37" spans="1:14">
      <c r="A37" s="30"/>
      <c r="B37" s="30"/>
      <c r="C37" s="30"/>
      <c r="D37" s="31"/>
      <c r="E37" s="32"/>
      <c r="F37" s="32"/>
      <c r="G37" s="33"/>
      <c r="H37" s="34"/>
      <c r="I37" s="35"/>
      <c r="J37" s="33"/>
      <c r="K37" s="34"/>
      <c r="L37" s="35"/>
      <c r="M37" s="31"/>
    </row>
  </sheetData>
  <mergeCells count="15">
    <mergeCell ref="A11:M11"/>
    <mergeCell ref="A29:M29"/>
    <mergeCell ref="A8:A10"/>
    <mergeCell ref="B8:B10"/>
    <mergeCell ref="C8:C10"/>
    <mergeCell ref="D8:D10"/>
    <mergeCell ref="E8:E10"/>
    <mergeCell ref="F8:F10"/>
    <mergeCell ref="M8:M10"/>
    <mergeCell ref="B1:F1"/>
    <mergeCell ref="B2:F2"/>
    <mergeCell ref="G8:I8"/>
    <mergeCell ref="J8:L8"/>
    <mergeCell ref="G9:I9"/>
    <mergeCell ref="J9:L9"/>
  </mergeCells>
  <dataValidations count="1">
    <dataValidation type="list" allowBlank="1" showErrorMessage="1" promptTitle="dfdf" sqref="G33 G34 G37 J37 G12:G24 G25:G26 G27:G28 G30:G32 G35:G36 J20:J21 J35:J36" xr:uid="{00000000-0002-0000-0400-000000000000}">
      <formula1>"Passed,Untested,Failed,Blocked"</formula1>
    </dataValidation>
  </dataValidation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75"/>
  <sheetViews>
    <sheetView topLeftCell="A21" zoomScale="55" zoomScaleNormal="55" workbookViewId="0">
      <selection activeCell="E25" sqref="E25"/>
    </sheetView>
  </sheetViews>
  <sheetFormatPr defaultColWidth="9" defaultRowHeight="16.5"/>
  <cols>
    <col min="1" max="1" width="21.36328125" style="37" customWidth="1"/>
    <col min="2" max="2" width="20.81640625" style="37" customWidth="1"/>
    <col min="3" max="3" width="20.1796875" style="37" customWidth="1"/>
    <col min="4" max="4" width="19.453125" style="37" customWidth="1"/>
    <col min="5" max="6" width="28.81640625" style="37" customWidth="1"/>
    <col min="7" max="7" width="13.08984375" style="37" customWidth="1"/>
    <col min="8" max="8" width="13.453125" style="37" customWidth="1"/>
    <col min="9" max="9" width="12.36328125" style="37" customWidth="1"/>
    <col min="10" max="10" width="13.54296875" style="37" customWidth="1"/>
    <col min="11" max="11" width="11.6328125" style="37" customWidth="1"/>
    <col min="12" max="12" width="7.26953125" style="37" customWidth="1"/>
    <col min="13" max="13" width="10.7265625" style="37" customWidth="1"/>
    <col min="14" max="16384" width="9" style="37"/>
  </cols>
  <sheetData>
    <row r="1" spans="1:13" s="36" customFormat="1" ht="15.75" customHeight="1">
      <c r="A1" s="38" t="s">
        <v>19</v>
      </c>
      <c r="B1" s="113" t="s">
        <v>2</v>
      </c>
      <c r="C1" s="113"/>
      <c r="D1" s="113"/>
      <c r="E1" s="113"/>
      <c r="F1" s="113"/>
      <c r="G1" s="39"/>
      <c r="H1" s="40"/>
      <c r="J1" s="39"/>
    </row>
    <row r="2" spans="1:13" s="36" customFormat="1">
      <c r="A2" s="38" t="s">
        <v>20</v>
      </c>
      <c r="B2" s="114" t="s">
        <v>407</v>
      </c>
      <c r="C2" s="114"/>
      <c r="D2" s="114"/>
      <c r="E2" s="114"/>
      <c r="F2" s="114"/>
      <c r="G2" s="39"/>
      <c r="H2" s="40"/>
      <c r="J2" s="39"/>
    </row>
    <row r="3" spans="1:13" s="36" customFormat="1" ht="16.5" customHeight="1">
      <c r="A3" s="41"/>
      <c r="B3" s="42" t="s">
        <v>21</v>
      </c>
      <c r="C3" s="42" t="s">
        <v>22</v>
      </c>
      <c r="D3" s="42" t="s">
        <v>23</v>
      </c>
      <c r="E3" s="42" t="s">
        <v>24</v>
      </c>
      <c r="F3" s="42" t="s">
        <v>25</v>
      </c>
      <c r="G3" s="39"/>
      <c r="H3" s="40"/>
      <c r="J3" s="39"/>
    </row>
    <row r="4" spans="1:13" s="36" customFormat="1">
      <c r="A4" s="43" t="s">
        <v>26</v>
      </c>
      <c r="B4" s="44">
        <v>15</v>
      </c>
      <c r="C4" s="44">
        <v>1</v>
      </c>
      <c r="D4" s="41">
        <f>COUNTIF(G23:G25,"Untested")</f>
        <v>0</v>
      </c>
      <c r="E4" s="45">
        <f>COUNTIF(G23:G25,"Blocked")</f>
        <v>0</v>
      </c>
      <c r="F4" s="41">
        <v>16</v>
      </c>
      <c r="G4" s="39"/>
      <c r="H4" s="40"/>
      <c r="J4" s="39"/>
    </row>
    <row r="5" spans="1:13" s="36" customFormat="1">
      <c r="A5" s="43" t="s">
        <v>27</v>
      </c>
      <c r="B5" s="44">
        <v>1</v>
      </c>
      <c r="C5" s="44">
        <v>0</v>
      </c>
      <c r="D5" s="41">
        <f>COUNTIF(J23:J25,"Untested")</f>
        <v>0</v>
      </c>
      <c r="E5" s="45">
        <f>COUNTIF(J23:J25,"Blocked")</f>
        <v>0</v>
      </c>
      <c r="F5" s="41">
        <v>1</v>
      </c>
      <c r="G5" s="39"/>
      <c r="H5" s="40"/>
      <c r="J5" s="39"/>
    </row>
    <row r="6" spans="1:13" s="36" customFormat="1" ht="114" customHeight="1">
      <c r="A6" s="46"/>
      <c r="B6" s="47"/>
      <c r="C6" s="47"/>
      <c r="D6" s="48"/>
      <c r="E6" s="49"/>
      <c r="F6" s="48"/>
      <c r="G6" s="39"/>
      <c r="H6" s="40"/>
      <c r="J6" s="39"/>
    </row>
    <row r="7" spans="1:13" s="36" customFormat="1" ht="409.5" customHeight="1">
      <c r="A7" s="50"/>
      <c r="B7" s="51"/>
      <c r="E7" s="52"/>
      <c r="G7" s="39"/>
      <c r="H7" s="40"/>
      <c r="J7" s="39"/>
    </row>
    <row r="8" spans="1:13" s="36" customFormat="1">
      <c r="A8" s="115" t="s">
        <v>28</v>
      </c>
      <c r="B8" s="115" t="s">
        <v>6</v>
      </c>
      <c r="C8" s="115" t="s">
        <v>29</v>
      </c>
      <c r="D8" s="115" t="s">
        <v>30</v>
      </c>
      <c r="E8" s="115" t="s">
        <v>31</v>
      </c>
      <c r="F8" s="115" t="s">
        <v>32</v>
      </c>
      <c r="G8" s="115" t="s">
        <v>33</v>
      </c>
      <c r="H8" s="115"/>
      <c r="I8" s="115"/>
      <c r="J8" s="115" t="s">
        <v>33</v>
      </c>
      <c r="K8" s="115"/>
      <c r="L8" s="115"/>
      <c r="M8" s="115" t="s">
        <v>34</v>
      </c>
    </row>
    <row r="9" spans="1:13" s="36" customFormat="1">
      <c r="A9" s="115"/>
      <c r="B9" s="115"/>
      <c r="C9" s="115"/>
      <c r="D9" s="115"/>
      <c r="E9" s="115"/>
      <c r="F9" s="115"/>
      <c r="G9" s="115" t="s">
        <v>35</v>
      </c>
      <c r="H9" s="115"/>
      <c r="I9" s="115"/>
      <c r="J9" s="115" t="s">
        <v>36</v>
      </c>
      <c r="K9" s="115"/>
      <c r="L9" s="115"/>
      <c r="M9" s="115"/>
    </row>
    <row r="10" spans="1:13" s="36" customFormat="1" ht="66">
      <c r="A10" s="115"/>
      <c r="B10" s="115"/>
      <c r="C10" s="115"/>
      <c r="D10" s="115"/>
      <c r="E10" s="115"/>
      <c r="F10" s="115"/>
      <c r="G10" s="53" t="s">
        <v>37</v>
      </c>
      <c r="H10" s="54" t="s">
        <v>38</v>
      </c>
      <c r="I10" s="42" t="s">
        <v>39</v>
      </c>
      <c r="J10" s="53" t="s">
        <v>37</v>
      </c>
      <c r="K10" s="54" t="s">
        <v>38</v>
      </c>
      <c r="L10" s="42" t="s">
        <v>39</v>
      </c>
      <c r="M10" s="115"/>
    </row>
    <row r="11" spans="1:13" s="36" customFormat="1" ht="30" customHeight="1">
      <c r="A11" s="116" t="s">
        <v>408</v>
      </c>
      <c r="B11" s="116"/>
      <c r="C11" s="116"/>
      <c r="D11" s="116"/>
      <c r="E11" s="116"/>
      <c r="F11" s="116"/>
      <c r="G11" s="116"/>
      <c r="H11" s="116"/>
      <c r="I11" s="116"/>
      <c r="J11" s="116"/>
      <c r="K11" s="116"/>
      <c r="L11" s="116"/>
      <c r="M11" s="116"/>
    </row>
    <row r="12" spans="1:13" s="36" customFormat="1" ht="43.15" customHeight="1">
      <c r="A12" s="55" t="s">
        <v>409</v>
      </c>
      <c r="B12" s="56" t="s">
        <v>410</v>
      </c>
      <c r="C12" s="57"/>
      <c r="D12" s="58" t="s">
        <v>43</v>
      </c>
      <c r="E12" s="59" t="s">
        <v>44</v>
      </c>
      <c r="F12" s="59" t="s">
        <v>44</v>
      </c>
      <c r="G12" s="130" t="s">
        <v>60</v>
      </c>
      <c r="H12" s="139">
        <v>46152</v>
      </c>
      <c r="I12" s="138" t="s">
        <v>45</v>
      </c>
      <c r="J12" s="62"/>
      <c r="K12" s="62"/>
      <c r="L12" s="62"/>
      <c r="M12" s="62"/>
    </row>
    <row r="13" spans="1:13" s="36" customFormat="1" ht="43.15" customHeight="1">
      <c r="A13" s="55" t="s">
        <v>411</v>
      </c>
      <c r="B13" s="56" t="s">
        <v>412</v>
      </c>
      <c r="C13" s="57"/>
      <c r="D13" s="58" t="s">
        <v>43</v>
      </c>
      <c r="E13" s="59" t="s">
        <v>44</v>
      </c>
      <c r="F13" s="59" t="s">
        <v>44</v>
      </c>
      <c r="G13" s="130" t="s">
        <v>60</v>
      </c>
      <c r="H13" s="139">
        <v>46152</v>
      </c>
      <c r="I13" s="138" t="s">
        <v>45</v>
      </c>
      <c r="J13" s="62"/>
      <c r="K13" s="62"/>
      <c r="L13" s="62"/>
      <c r="M13" s="62"/>
    </row>
    <row r="14" spans="1:13" s="36" customFormat="1" ht="47.25" customHeight="1">
      <c r="A14" s="55" t="s">
        <v>413</v>
      </c>
      <c r="B14" s="56" t="s">
        <v>414</v>
      </c>
      <c r="C14" s="57"/>
      <c r="D14" s="58" t="s">
        <v>43</v>
      </c>
      <c r="E14" s="59" t="s">
        <v>44</v>
      </c>
      <c r="F14" s="59" t="s">
        <v>216</v>
      </c>
      <c r="G14" s="132" t="s">
        <v>104</v>
      </c>
      <c r="H14" s="139">
        <v>46152</v>
      </c>
      <c r="I14" s="138" t="s">
        <v>45</v>
      </c>
      <c r="J14" s="130" t="s">
        <v>60</v>
      </c>
      <c r="K14" s="139">
        <v>46152</v>
      </c>
      <c r="L14" s="138" t="s">
        <v>45</v>
      </c>
      <c r="M14" s="62"/>
    </row>
    <row r="15" spans="1:13" s="36" customFormat="1" ht="42.4" customHeight="1">
      <c r="A15" s="55" t="s">
        <v>415</v>
      </c>
      <c r="B15" s="56" t="s">
        <v>416</v>
      </c>
      <c r="C15" s="57"/>
      <c r="D15" s="58" t="s">
        <v>43</v>
      </c>
      <c r="E15" s="59" t="s">
        <v>216</v>
      </c>
      <c r="F15" s="59" t="s">
        <v>216</v>
      </c>
      <c r="G15" s="130" t="s">
        <v>60</v>
      </c>
      <c r="H15" s="139">
        <v>46152</v>
      </c>
      <c r="I15" s="138" t="s">
        <v>45</v>
      </c>
      <c r="J15" s="62"/>
      <c r="K15" s="62"/>
      <c r="L15" s="62"/>
      <c r="M15" s="62"/>
    </row>
    <row r="16" spans="1:13" s="36" customFormat="1" ht="61.9" customHeight="1">
      <c r="A16" s="55" t="s">
        <v>417</v>
      </c>
      <c r="B16" s="56" t="s">
        <v>418</v>
      </c>
      <c r="C16" s="56"/>
      <c r="D16" s="58" t="s">
        <v>43</v>
      </c>
      <c r="E16" s="59" t="s">
        <v>44</v>
      </c>
      <c r="F16" s="59" t="s">
        <v>44</v>
      </c>
      <c r="G16" s="130" t="s">
        <v>60</v>
      </c>
      <c r="H16" s="139">
        <v>46152</v>
      </c>
      <c r="I16" s="138" t="s">
        <v>45</v>
      </c>
      <c r="J16" s="62"/>
      <c r="K16" s="62"/>
      <c r="L16" s="62"/>
      <c r="M16" s="62"/>
    </row>
    <row r="17" spans="1:13" s="36" customFormat="1" ht="56.25" customHeight="1">
      <c r="A17" s="55" t="s">
        <v>419</v>
      </c>
      <c r="B17" s="56" t="s">
        <v>420</v>
      </c>
      <c r="C17" s="57"/>
      <c r="D17" s="58" t="s">
        <v>43</v>
      </c>
      <c r="E17" s="59" t="s">
        <v>44</v>
      </c>
      <c r="F17" s="59" t="s">
        <v>44</v>
      </c>
      <c r="G17" s="130" t="s">
        <v>60</v>
      </c>
      <c r="H17" s="139">
        <v>46152</v>
      </c>
      <c r="I17" s="138" t="s">
        <v>45</v>
      </c>
      <c r="J17" s="56"/>
      <c r="K17" s="63"/>
      <c r="L17" s="64"/>
      <c r="M17" s="62"/>
    </row>
    <row r="18" spans="1:13" s="36" customFormat="1" ht="43.15" customHeight="1">
      <c r="A18" s="55" t="s">
        <v>421</v>
      </c>
      <c r="B18" s="56" t="s">
        <v>422</v>
      </c>
      <c r="C18" s="57"/>
      <c r="D18" s="58" t="s">
        <v>43</v>
      </c>
      <c r="E18" s="59" t="s">
        <v>44</v>
      </c>
      <c r="F18" s="59" t="s">
        <v>44</v>
      </c>
      <c r="G18" s="130" t="s">
        <v>60</v>
      </c>
      <c r="H18" s="139">
        <v>46152</v>
      </c>
      <c r="I18" s="138" t="s">
        <v>45</v>
      </c>
      <c r="J18" s="62"/>
      <c r="K18" s="62"/>
      <c r="L18" s="62"/>
      <c r="M18" s="62"/>
    </row>
    <row r="19" spans="1:13" s="36" customFormat="1" ht="43.15" customHeight="1">
      <c r="A19" s="55" t="s">
        <v>423</v>
      </c>
      <c r="B19" s="56" t="s">
        <v>424</v>
      </c>
      <c r="C19" s="57"/>
      <c r="D19" s="58" t="s">
        <v>43</v>
      </c>
      <c r="E19" s="59" t="s">
        <v>44</v>
      </c>
      <c r="F19" s="59" t="s">
        <v>44</v>
      </c>
      <c r="G19" s="130" t="s">
        <v>60</v>
      </c>
      <c r="H19" s="139">
        <v>46152</v>
      </c>
      <c r="I19" s="138" t="s">
        <v>45</v>
      </c>
      <c r="J19" s="62"/>
      <c r="K19" s="62"/>
      <c r="L19" s="62"/>
      <c r="M19" s="62"/>
    </row>
    <row r="20" spans="1:13" s="36" customFormat="1" ht="43.15" customHeight="1">
      <c r="A20" s="55" t="s">
        <v>425</v>
      </c>
      <c r="B20" s="56" t="s">
        <v>426</v>
      </c>
      <c r="C20" s="57"/>
      <c r="D20" s="58" t="s">
        <v>43</v>
      </c>
      <c r="E20" s="59" t="s">
        <v>212</v>
      </c>
      <c r="F20" s="59" t="s">
        <v>212</v>
      </c>
      <c r="G20" s="130" t="s">
        <v>60</v>
      </c>
      <c r="H20" s="139">
        <v>46152</v>
      </c>
      <c r="I20" s="138" t="s">
        <v>45</v>
      </c>
      <c r="J20" s="62"/>
      <c r="K20" s="62"/>
      <c r="L20" s="62"/>
      <c r="M20" s="62"/>
    </row>
    <row r="21" spans="1:13" s="36" customFormat="1" ht="43.15" customHeight="1">
      <c r="A21" s="55" t="s">
        <v>427</v>
      </c>
      <c r="B21" s="56" t="s">
        <v>428</v>
      </c>
      <c r="C21" s="57"/>
      <c r="D21" s="58" t="s">
        <v>43</v>
      </c>
      <c r="E21" s="59" t="s">
        <v>44</v>
      </c>
      <c r="F21" s="59" t="s">
        <v>44</v>
      </c>
      <c r="G21" s="130" t="s">
        <v>60</v>
      </c>
      <c r="H21" s="139">
        <v>46152</v>
      </c>
      <c r="I21" s="138" t="s">
        <v>45</v>
      </c>
      <c r="J21" s="62"/>
      <c r="K21" s="62"/>
      <c r="L21" s="62"/>
      <c r="M21" s="62"/>
    </row>
    <row r="22" spans="1:13" s="36" customFormat="1" ht="43.15" customHeight="1">
      <c r="A22" s="55" t="s">
        <v>429</v>
      </c>
      <c r="B22" s="56" t="s">
        <v>430</v>
      </c>
      <c r="C22" s="57"/>
      <c r="D22" s="58" t="s">
        <v>43</v>
      </c>
      <c r="E22" s="59" t="s">
        <v>431</v>
      </c>
      <c r="F22" s="59" t="s">
        <v>431</v>
      </c>
      <c r="G22" s="130" t="s">
        <v>60</v>
      </c>
      <c r="H22" s="139">
        <v>46152</v>
      </c>
      <c r="I22" s="138" t="s">
        <v>45</v>
      </c>
      <c r="J22" s="62"/>
      <c r="K22" s="62"/>
      <c r="L22" s="62"/>
      <c r="M22" s="62"/>
    </row>
    <row r="23" spans="1:13" s="36" customFormat="1" ht="43.15" customHeight="1">
      <c r="A23" s="117" t="s">
        <v>432</v>
      </c>
      <c r="B23" s="117"/>
      <c r="C23" s="117"/>
      <c r="D23" s="117"/>
      <c r="E23" s="117"/>
      <c r="F23" s="117"/>
      <c r="G23" s="117"/>
      <c r="H23" s="117"/>
      <c r="I23" s="117"/>
      <c r="J23" s="117"/>
      <c r="K23" s="117"/>
      <c r="L23" s="117"/>
      <c r="M23" s="117"/>
    </row>
    <row r="24" spans="1:13" s="36" customFormat="1" ht="165">
      <c r="A24" s="55" t="s">
        <v>433</v>
      </c>
      <c r="B24" s="55" t="s">
        <v>434</v>
      </c>
      <c r="C24" s="55" t="s">
        <v>435</v>
      </c>
      <c r="D24" s="65" t="s">
        <v>436</v>
      </c>
      <c r="E24" s="56" t="s">
        <v>437</v>
      </c>
      <c r="F24" s="56" t="s">
        <v>437</v>
      </c>
      <c r="G24" s="130" t="s">
        <v>60</v>
      </c>
      <c r="H24" s="139">
        <v>46152</v>
      </c>
      <c r="I24" s="131" t="s">
        <v>45</v>
      </c>
      <c r="J24" s="61"/>
      <c r="K24" s="67"/>
      <c r="L24" s="66"/>
      <c r="M24" s="65"/>
    </row>
    <row r="25" spans="1:13" s="36" customFormat="1" ht="165">
      <c r="A25" s="55" t="s">
        <v>438</v>
      </c>
      <c r="B25" s="55" t="s">
        <v>439</v>
      </c>
      <c r="C25" s="55" t="s">
        <v>440</v>
      </c>
      <c r="D25" s="65" t="s">
        <v>436</v>
      </c>
      <c r="E25" s="56" t="s">
        <v>437</v>
      </c>
      <c r="F25" s="56" t="s">
        <v>437</v>
      </c>
      <c r="G25" s="130" t="s">
        <v>60</v>
      </c>
      <c r="H25" s="139">
        <v>46152</v>
      </c>
      <c r="I25" s="131" t="s">
        <v>45</v>
      </c>
      <c r="J25" s="61"/>
      <c r="K25" s="67"/>
      <c r="L25" s="66"/>
      <c r="M25" s="65"/>
    </row>
    <row r="26" spans="1:13" s="36" customFormat="1" ht="181.5">
      <c r="A26" s="55" t="s">
        <v>441</v>
      </c>
      <c r="B26" s="55" t="s">
        <v>442</v>
      </c>
      <c r="C26" s="55" t="s">
        <v>443</v>
      </c>
      <c r="D26" s="65" t="s">
        <v>436</v>
      </c>
      <c r="E26" s="56" t="s">
        <v>444</v>
      </c>
      <c r="F26" s="56" t="s">
        <v>444</v>
      </c>
      <c r="G26" s="130" t="s">
        <v>60</v>
      </c>
      <c r="H26" s="139">
        <v>46152</v>
      </c>
      <c r="I26" s="131" t="s">
        <v>45</v>
      </c>
      <c r="J26" s="61"/>
      <c r="K26" s="67"/>
      <c r="L26" s="66"/>
      <c r="M26" s="65"/>
    </row>
    <row r="27" spans="1:13" s="36" customFormat="1" ht="66">
      <c r="A27" s="55" t="s">
        <v>445</v>
      </c>
      <c r="B27" s="55" t="s">
        <v>446</v>
      </c>
      <c r="C27" s="55" t="s">
        <v>447</v>
      </c>
      <c r="D27" s="65" t="s">
        <v>448</v>
      </c>
      <c r="E27" s="56" t="s">
        <v>449</v>
      </c>
      <c r="F27" s="56" t="s">
        <v>449</v>
      </c>
      <c r="G27" s="130" t="s">
        <v>60</v>
      </c>
      <c r="H27" s="139">
        <v>46152</v>
      </c>
      <c r="I27" s="131" t="s">
        <v>45</v>
      </c>
      <c r="J27" s="61"/>
      <c r="K27" s="60"/>
      <c r="L27" s="66"/>
      <c r="M27" s="65"/>
    </row>
    <row r="28" spans="1:13" s="36" customFormat="1" ht="66">
      <c r="A28" s="55" t="s">
        <v>450</v>
      </c>
      <c r="B28" s="55" t="s">
        <v>451</v>
      </c>
      <c r="C28" s="55" t="s">
        <v>447</v>
      </c>
      <c r="D28" s="65" t="s">
        <v>436</v>
      </c>
      <c r="E28" s="56" t="s">
        <v>452</v>
      </c>
      <c r="F28" s="56" t="s">
        <v>452</v>
      </c>
      <c r="G28" s="130" t="s">
        <v>104</v>
      </c>
      <c r="H28" s="139">
        <v>46152</v>
      </c>
      <c r="I28" s="131" t="s">
        <v>45</v>
      </c>
      <c r="J28" s="68"/>
      <c r="K28" s="68"/>
      <c r="L28" s="68"/>
      <c r="M28" s="68"/>
    </row>
    <row r="29" spans="1:13" s="36" customFormat="1"/>
    <row r="30" spans="1:13" s="36" customFormat="1"/>
    <row r="31" spans="1:13" s="36" customFormat="1"/>
    <row r="32" spans="1:13" s="36" customFormat="1"/>
    <row r="33" spans="1:22" s="36" customFormat="1"/>
    <row r="34" spans="1:22" s="36" customFormat="1">
      <c r="A34" s="69"/>
      <c r="B34" s="69"/>
      <c r="C34" s="69"/>
      <c r="D34" s="69"/>
      <c r="E34" s="69"/>
      <c r="F34" s="69"/>
      <c r="G34" s="69"/>
      <c r="H34" s="69"/>
      <c r="I34" s="69"/>
    </row>
    <row r="35" spans="1:22" s="36" customFormat="1">
      <c r="A35" s="69"/>
      <c r="B35" s="69"/>
      <c r="C35" s="69"/>
      <c r="D35" s="69"/>
      <c r="E35" s="69"/>
      <c r="F35" s="69"/>
      <c r="G35" s="69"/>
      <c r="H35" s="69"/>
      <c r="I35" s="69"/>
    </row>
    <row r="36" spans="1:22" s="36" customFormat="1">
      <c r="A36" s="69"/>
      <c r="B36" s="69"/>
      <c r="C36" s="69"/>
      <c r="D36" s="69"/>
      <c r="E36" s="69"/>
      <c r="F36" s="69"/>
      <c r="G36" s="69"/>
      <c r="H36" s="69"/>
      <c r="I36" s="69"/>
    </row>
    <row r="37" spans="1:22" s="36" customFormat="1">
      <c r="A37" s="69"/>
      <c r="B37" s="69"/>
      <c r="C37" s="69"/>
      <c r="D37" s="69"/>
      <c r="E37" s="69"/>
      <c r="F37" s="69"/>
      <c r="G37" s="69"/>
      <c r="H37" s="69"/>
      <c r="I37" s="69"/>
    </row>
    <row r="38" spans="1:22" s="36" customFormat="1">
      <c r="A38" s="70"/>
      <c r="B38" s="70"/>
      <c r="C38" s="70"/>
      <c r="D38" s="70"/>
      <c r="E38" s="70"/>
      <c r="F38" s="70"/>
      <c r="G38" s="70"/>
      <c r="H38" s="70"/>
      <c r="I38" s="70"/>
      <c r="J38" s="70"/>
      <c r="K38" s="70"/>
      <c r="L38" s="70"/>
      <c r="M38" s="70"/>
      <c r="N38" s="69"/>
      <c r="O38" s="69"/>
      <c r="P38" s="69"/>
      <c r="Q38" s="69"/>
      <c r="R38" s="69"/>
      <c r="S38" s="69"/>
      <c r="T38" s="69"/>
      <c r="U38" s="69"/>
      <c r="V38" s="69"/>
    </row>
    <row r="39" spans="1:22" s="36" customFormat="1">
      <c r="A39" s="70"/>
      <c r="B39" s="70"/>
      <c r="C39" s="70"/>
      <c r="D39" s="70"/>
      <c r="E39" s="70"/>
      <c r="F39" s="70"/>
      <c r="G39" s="70"/>
      <c r="H39" s="70"/>
      <c r="I39" s="70"/>
      <c r="J39" s="70"/>
      <c r="K39" s="70"/>
      <c r="L39" s="70"/>
      <c r="M39" s="70"/>
      <c r="N39" s="69"/>
      <c r="O39" s="69"/>
      <c r="P39" s="69"/>
      <c r="Q39" s="69"/>
      <c r="R39" s="69"/>
      <c r="S39" s="69"/>
      <c r="T39" s="69"/>
      <c r="U39" s="69"/>
      <c r="V39" s="69"/>
    </row>
    <row r="40" spans="1:22" s="36" customFormat="1">
      <c r="A40" s="70"/>
      <c r="B40" s="70"/>
      <c r="C40" s="70"/>
      <c r="D40" s="70"/>
      <c r="E40" s="70"/>
      <c r="F40" s="70"/>
      <c r="G40" s="70"/>
      <c r="H40" s="70"/>
      <c r="I40" s="70"/>
      <c r="J40" s="70"/>
      <c r="K40" s="70"/>
      <c r="L40" s="70"/>
      <c r="M40" s="70"/>
      <c r="N40" s="69"/>
      <c r="O40" s="69"/>
      <c r="P40" s="69"/>
      <c r="Q40" s="69"/>
      <c r="R40" s="69"/>
      <c r="S40" s="69"/>
      <c r="T40" s="69"/>
      <c r="U40" s="69"/>
      <c r="V40" s="69"/>
    </row>
    <row r="41" spans="1:22" s="36" customFormat="1">
      <c r="A41" s="70"/>
      <c r="B41" s="70"/>
      <c r="C41" s="70"/>
      <c r="D41" s="70"/>
      <c r="E41" s="70"/>
      <c r="F41" s="70"/>
      <c r="G41" s="70"/>
      <c r="H41" s="70"/>
      <c r="I41" s="70"/>
      <c r="J41" s="70"/>
      <c r="K41" s="70"/>
      <c r="L41" s="70"/>
      <c r="M41" s="70"/>
      <c r="N41" s="69"/>
      <c r="O41" s="69"/>
      <c r="P41" s="69"/>
      <c r="Q41" s="69"/>
      <c r="R41" s="69"/>
      <c r="S41" s="69"/>
      <c r="T41" s="69"/>
      <c r="U41" s="69"/>
      <c r="V41" s="69"/>
    </row>
    <row r="42" spans="1:22">
      <c r="A42" s="70"/>
      <c r="B42" s="70"/>
      <c r="C42" s="70"/>
      <c r="D42" s="70"/>
      <c r="E42" s="70"/>
      <c r="F42" s="70"/>
      <c r="G42" s="70"/>
      <c r="H42" s="70"/>
      <c r="I42" s="70"/>
      <c r="J42" s="70"/>
      <c r="K42" s="70"/>
      <c r="L42" s="70"/>
      <c r="M42" s="70"/>
      <c r="N42" s="70"/>
      <c r="O42" s="70"/>
      <c r="P42" s="70"/>
      <c r="Q42" s="70"/>
      <c r="R42" s="70"/>
      <c r="S42" s="70"/>
      <c r="T42" s="70"/>
      <c r="U42" s="70"/>
      <c r="V42" s="70"/>
    </row>
    <row r="43" spans="1:22">
      <c r="A43" s="70"/>
      <c r="B43" s="70"/>
      <c r="C43" s="70"/>
      <c r="D43" s="70"/>
      <c r="E43" s="70"/>
      <c r="F43" s="70"/>
      <c r="G43" s="70"/>
      <c r="H43" s="70"/>
      <c r="I43" s="70"/>
      <c r="J43" s="70"/>
      <c r="K43" s="70"/>
      <c r="L43" s="70"/>
      <c r="M43" s="70"/>
      <c r="N43" s="70"/>
      <c r="O43" s="70"/>
      <c r="P43" s="70"/>
      <c r="Q43" s="70"/>
      <c r="R43" s="70"/>
      <c r="S43" s="70"/>
      <c r="T43" s="70"/>
      <c r="U43" s="70"/>
      <c r="V43" s="70"/>
    </row>
    <row r="44" spans="1:22">
      <c r="A44" s="70"/>
      <c r="B44" s="70"/>
      <c r="C44" s="70"/>
      <c r="D44" s="70"/>
      <c r="E44" s="70"/>
      <c r="F44" s="70"/>
      <c r="G44" s="70"/>
      <c r="H44" s="70"/>
      <c r="I44" s="70"/>
      <c r="J44" s="70"/>
      <c r="K44" s="70"/>
      <c r="L44" s="70"/>
      <c r="M44" s="70"/>
      <c r="N44" s="70"/>
      <c r="O44" s="70"/>
      <c r="P44" s="70"/>
      <c r="Q44" s="70"/>
      <c r="R44" s="70"/>
      <c r="S44" s="70"/>
      <c r="T44" s="70"/>
      <c r="U44" s="70"/>
      <c r="V44" s="70"/>
    </row>
    <row r="45" spans="1:22">
      <c r="A45" s="70"/>
      <c r="B45" s="70"/>
      <c r="C45" s="70"/>
      <c r="D45" s="70"/>
      <c r="E45" s="70"/>
      <c r="F45" s="70"/>
      <c r="G45" s="70"/>
      <c r="H45" s="70"/>
      <c r="I45" s="70"/>
      <c r="J45" s="70"/>
      <c r="K45" s="70"/>
      <c r="L45" s="70"/>
      <c r="M45" s="70"/>
      <c r="N45" s="70"/>
      <c r="O45" s="70"/>
      <c r="P45" s="70"/>
      <c r="Q45" s="70"/>
      <c r="R45" s="70"/>
      <c r="S45" s="70"/>
      <c r="T45" s="70"/>
      <c r="U45" s="70"/>
      <c r="V45" s="70"/>
    </row>
    <row r="46" spans="1:22">
      <c r="A46" s="70"/>
      <c r="B46" s="70"/>
      <c r="C46" s="70"/>
      <c r="D46" s="70"/>
      <c r="E46" s="70"/>
      <c r="F46" s="70"/>
      <c r="G46" s="70"/>
      <c r="H46" s="70"/>
      <c r="I46" s="70"/>
      <c r="J46" s="70"/>
      <c r="K46" s="70"/>
      <c r="L46" s="70"/>
      <c r="M46" s="70"/>
      <c r="N46" s="70"/>
      <c r="O46" s="70"/>
      <c r="P46" s="70"/>
      <c r="Q46" s="70"/>
      <c r="R46" s="70"/>
      <c r="S46" s="70"/>
      <c r="T46" s="70"/>
      <c r="U46" s="70"/>
      <c r="V46" s="70"/>
    </row>
    <row r="47" spans="1:22">
      <c r="A47" s="70"/>
      <c r="B47" s="70"/>
      <c r="C47" s="70"/>
      <c r="D47" s="70"/>
      <c r="E47" s="70"/>
      <c r="F47" s="70"/>
      <c r="G47" s="70"/>
      <c r="H47" s="70"/>
      <c r="I47" s="70"/>
      <c r="J47" s="70"/>
      <c r="K47" s="70"/>
      <c r="L47" s="70"/>
      <c r="M47" s="70"/>
      <c r="N47" s="70"/>
      <c r="O47" s="70"/>
      <c r="P47" s="70"/>
      <c r="Q47" s="70"/>
      <c r="R47" s="70"/>
      <c r="S47" s="70"/>
      <c r="T47" s="70"/>
      <c r="U47" s="70"/>
      <c r="V47" s="70"/>
    </row>
    <row r="48" spans="1:22">
      <c r="A48" s="70"/>
      <c r="B48" s="70"/>
      <c r="C48" s="70"/>
      <c r="D48" s="70"/>
      <c r="E48" s="70"/>
      <c r="F48" s="70"/>
      <c r="G48" s="70"/>
      <c r="H48" s="70"/>
      <c r="I48" s="70"/>
      <c r="J48" s="70"/>
      <c r="K48" s="70"/>
      <c r="L48" s="70"/>
      <c r="M48" s="70"/>
      <c r="N48" s="70"/>
      <c r="O48" s="70"/>
      <c r="P48" s="70"/>
      <c r="Q48" s="70"/>
      <c r="R48" s="70"/>
      <c r="S48" s="70"/>
      <c r="T48" s="70"/>
      <c r="U48" s="70"/>
      <c r="V48" s="70"/>
    </row>
    <row r="49" spans="1:22">
      <c r="A49" s="70"/>
      <c r="B49" s="70"/>
      <c r="C49" s="70"/>
      <c r="D49" s="70"/>
      <c r="E49" s="70"/>
      <c r="F49" s="70"/>
      <c r="G49" s="70"/>
      <c r="H49" s="70"/>
      <c r="I49" s="70"/>
      <c r="J49" s="70"/>
      <c r="K49" s="70"/>
      <c r="L49" s="70"/>
      <c r="M49" s="70"/>
      <c r="N49" s="70"/>
      <c r="O49" s="70"/>
      <c r="P49" s="70"/>
      <c r="Q49" s="70"/>
      <c r="R49" s="70"/>
      <c r="S49" s="70"/>
      <c r="T49" s="70"/>
      <c r="U49" s="70"/>
      <c r="V49" s="70"/>
    </row>
    <row r="50" spans="1:22">
      <c r="A50" s="70"/>
      <c r="B50" s="70"/>
      <c r="C50" s="70"/>
      <c r="D50" s="70"/>
      <c r="E50" s="70"/>
      <c r="F50" s="70"/>
      <c r="G50" s="70"/>
      <c r="H50" s="70"/>
      <c r="I50" s="70"/>
      <c r="J50" s="70"/>
      <c r="K50" s="70"/>
      <c r="L50" s="70"/>
      <c r="M50" s="70"/>
      <c r="N50" s="70"/>
      <c r="O50" s="70"/>
      <c r="P50" s="70"/>
      <c r="Q50" s="70"/>
      <c r="R50" s="70"/>
      <c r="S50" s="70"/>
      <c r="T50" s="70"/>
      <c r="U50" s="70"/>
      <c r="V50" s="70"/>
    </row>
    <row r="51" spans="1:22">
      <c r="A51" s="70"/>
      <c r="B51" s="70"/>
      <c r="C51" s="70"/>
      <c r="D51" s="70"/>
      <c r="E51" s="70"/>
      <c r="F51" s="70"/>
      <c r="G51" s="70"/>
      <c r="H51" s="70"/>
      <c r="I51" s="70"/>
      <c r="J51" s="70"/>
      <c r="K51" s="70"/>
      <c r="L51" s="70"/>
      <c r="M51" s="70"/>
      <c r="N51" s="70"/>
      <c r="O51" s="70"/>
      <c r="P51" s="70"/>
      <c r="Q51" s="70"/>
      <c r="R51" s="70"/>
      <c r="S51" s="70"/>
      <c r="T51" s="70"/>
      <c r="U51" s="70"/>
      <c r="V51" s="70"/>
    </row>
    <row r="52" spans="1:22">
      <c r="A52" s="70"/>
      <c r="B52" s="70"/>
      <c r="C52" s="70"/>
      <c r="D52" s="70"/>
      <c r="E52" s="70"/>
      <c r="F52" s="70"/>
      <c r="G52" s="70"/>
      <c r="H52" s="70"/>
      <c r="I52" s="70"/>
      <c r="J52" s="70"/>
      <c r="K52" s="70"/>
      <c r="L52" s="70"/>
      <c r="M52" s="70"/>
      <c r="N52" s="70"/>
      <c r="O52" s="70"/>
      <c r="P52" s="70"/>
      <c r="Q52" s="70"/>
      <c r="R52" s="70"/>
      <c r="S52" s="70"/>
      <c r="T52" s="70"/>
      <c r="U52" s="70"/>
      <c r="V52" s="70"/>
    </row>
    <row r="53" spans="1:22">
      <c r="A53" s="70"/>
      <c r="B53" s="70"/>
      <c r="C53" s="70"/>
      <c r="D53" s="70"/>
      <c r="E53" s="70"/>
      <c r="F53" s="70"/>
      <c r="G53" s="70"/>
      <c r="H53" s="70"/>
      <c r="I53" s="70"/>
      <c r="J53" s="70"/>
      <c r="K53" s="70"/>
      <c r="L53" s="70"/>
      <c r="M53" s="70"/>
      <c r="N53" s="70"/>
      <c r="O53" s="70"/>
      <c r="P53" s="70"/>
      <c r="Q53" s="70"/>
      <c r="R53" s="70"/>
      <c r="S53" s="70"/>
      <c r="T53" s="70"/>
      <c r="U53" s="70"/>
      <c r="V53" s="70"/>
    </row>
    <row r="54" spans="1:22">
      <c r="A54" s="70"/>
      <c r="B54" s="70"/>
      <c r="C54" s="70"/>
      <c r="D54" s="70"/>
      <c r="E54" s="70"/>
      <c r="F54" s="70"/>
      <c r="G54" s="70"/>
      <c r="H54" s="70"/>
      <c r="I54" s="70"/>
      <c r="J54" s="70"/>
      <c r="K54" s="70"/>
      <c r="L54" s="70"/>
      <c r="M54" s="70"/>
      <c r="N54" s="70"/>
      <c r="O54" s="70"/>
      <c r="P54" s="70"/>
      <c r="Q54" s="70"/>
      <c r="R54" s="70"/>
      <c r="S54" s="70"/>
      <c r="T54" s="70"/>
      <c r="U54" s="70"/>
      <c r="V54" s="70"/>
    </row>
    <row r="55" spans="1:22">
      <c r="A55" s="70"/>
      <c r="B55" s="70"/>
      <c r="C55" s="70"/>
      <c r="D55" s="70"/>
      <c r="E55" s="70"/>
      <c r="F55" s="70"/>
      <c r="G55" s="70"/>
      <c r="H55" s="70"/>
      <c r="I55" s="70"/>
      <c r="J55" s="70"/>
      <c r="K55" s="70"/>
      <c r="L55" s="70"/>
      <c r="M55" s="70"/>
      <c r="N55" s="70"/>
      <c r="O55" s="70"/>
      <c r="P55" s="70"/>
      <c r="Q55" s="70"/>
      <c r="R55" s="70"/>
      <c r="S55" s="70"/>
      <c r="T55" s="70"/>
      <c r="U55" s="70"/>
      <c r="V55" s="70"/>
    </row>
    <row r="56" spans="1:22">
      <c r="A56" s="70"/>
      <c r="B56" s="70"/>
      <c r="C56" s="70"/>
      <c r="D56" s="70"/>
      <c r="E56" s="70"/>
      <c r="F56" s="70"/>
      <c r="G56" s="70"/>
      <c r="H56" s="70"/>
      <c r="I56" s="70"/>
      <c r="J56" s="70"/>
      <c r="K56" s="70"/>
      <c r="L56" s="70"/>
      <c r="M56" s="70"/>
      <c r="N56" s="70"/>
      <c r="O56" s="70"/>
      <c r="P56" s="70"/>
      <c r="Q56" s="70"/>
      <c r="R56" s="70"/>
      <c r="S56" s="70"/>
      <c r="T56" s="70"/>
      <c r="U56" s="70"/>
      <c r="V56" s="70"/>
    </row>
    <row r="57" spans="1:22">
      <c r="A57" s="70"/>
      <c r="B57" s="70"/>
      <c r="C57" s="70"/>
      <c r="D57" s="70"/>
      <c r="E57" s="70"/>
      <c r="F57" s="70"/>
      <c r="G57" s="70"/>
      <c r="H57" s="70"/>
      <c r="I57" s="70"/>
      <c r="J57" s="70"/>
      <c r="K57" s="70"/>
      <c r="L57" s="70"/>
      <c r="M57" s="70"/>
      <c r="N57" s="70"/>
      <c r="O57" s="70"/>
      <c r="P57" s="70"/>
      <c r="Q57" s="70"/>
      <c r="R57" s="70"/>
      <c r="S57" s="70"/>
      <c r="T57" s="70"/>
      <c r="U57" s="70"/>
      <c r="V57" s="70"/>
    </row>
    <row r="58" spans="1:22">
      <c r="A58" s="70"/>
      <c r="B58" s="70"/>
      <c r="C58" s="70"/>
      <c r="D58" s="70"/>
      <c r="E58" s="70"/>
      <c r="F58" s="70"/>
      <c r="G58" s="70"/>
      <c r="H58" s="70"/>
      <c r="I58" s="70"/>
      <c r="J58" s="70"/>
      <c r="K58" s="70"/>
      <c r="L58" s="70"/>
      <c r="M58" s="70"/>
      <c r="N58" s="70"/>
      <c r="O58" s="70"/>
      <c r="P58" s="70"/>
      <c r="Q58" s="70"/>
      <c r="R58" s="70"/>
      <c r="S58" s="70"/>
      <c r="T58" s="70"/>
      <c r="U58" s="70"/>
      <c r="V58" s="70"/>
    </row>
    <row r="59" spans="1:22">
      <c r="A59" s="70"/>
      <c r="B59" s="70"/>
      <c r="C59" s="70"/>
      <c r="D59" s="70"/>
      <c r="E59" s="70"/>
      <c r="F59" s="70"/>
      <c r="G59" s="70"/>
      <c r="H59" s="70"/>
      <c r="I59" s="70"/>
      <c r="J59" s="70"/>
      <c r="K59" s="70"/>
      <c r="L59" s="70"/>
      <c r="M59" s="70"/>
      <c r="N59" s="70"/>
      <c r="O59" s="70"/>
      <c r="P59" s="70"/>
      <c r="Q59" s="70"/>
      <c r="R59" s="70"/>
      <c r="S59" s="70"/>
      <c r="T59" s="70"/>
      <c r="U59" s="70"/>
      <c r="V59" s="70"/>
    </row>
    <row r="60" spans="1:22">
      <c r="A60" s="70"/>
      <c r="B60" s="70"/>
      <c r="C60" s="70"/>
      <c r="D60" s="70"/>
      <c r="E60" s="70"/>
      <c r="F60" s="70"/>
      <c r="G60" s="70"/>
      <c r="H60" s="70"/>
      <c r="I60" s="70"/>
      <c r="J60" s="70"/>
      <c r="K60" s="70"/>
      <c r="L60" s="70"/>
      <c r="M60" s="70"/>
      <c r="N60" s="70"/>
      <c r="O60" s="70"/>
      <c r="P60" s="70"/>
      <c r="Q60" s="70"/>
      <c r="R60" s="70"/>
      <c r="S60" s="70"/>
      <c r="T60" s="70"/>
      <c r="U60" s="70"/>
      <c r="V60" s="70"/>
    </row>
    <row r="61" spans="1:22">
      <c r="A61" s="70"/>
      <c r="B61" s="70"/>
      <c r="C61" s="70"/>
      <c r="D61" s="70"/>
      <c r="E61" s="70"/>
      <c r="F61" s="70"/>
      <c r="G61" s="70"/>
      <c r="H61" s="70"/>
      <c r="I61" s="70"/>
      <c r="J61" s="70"/>
      <c r="K61" s="70"/>
      <c r="L61" s="70"/>
      <c r="M61" s="70"/>
      <c r="N61" s="70"/>
      <c r="O61" s="70"/>
      <c r="P61" s="70"/>
      <c r="Q61" s="70"/>
      <c r="R61" s="70"/>
      <c r="S61" s="70"/>
      <c r="T61" s="70"/>
      <c r="U61" s="70"/>
      <c r="V61" s="70"/>
    </row>
    <row r="62" spans="1:22">
      <c r="A62" s="70"/>
      <c r="B62" s="70"/>
      <c r="C62" s="70"/>
      <c r="D62" s="70"/>
      <c r="E62" s="70"/>
      <c r="F62" s="70"/>
      <c r="G62" s="70"/>
      <c r="H62" s="70"/>
      <c r="I62" s="70"/>
      <c r="J62" s="70"/>
      <c r="K62" s="70"/>
      <c r="L62" s="70"/>
      <c r="M62" s="70"/>
      <c r="N62" s="70"/>
      <c r="O62" s="70"/>
      <c r="P62" s="70"/>
      <c r="Q62" s="70"/>
      <c r="R62" s="70"/>
      <c r="S62" s="70"/>
      <c r="T62" s="70"/>
      <c r="U62" s="70"/>
      <c r="V62" s="70"/>
    </row>
    <row r="63" spans="1:22">
      <c r="A63" s="70"/>
      <c r="B63" s="70"/>
      <c r="C63" s="70"/>
      <c r="D63" s="70"/>
      <c r="E63" s="70"/>
      <c r="F63" s="70"/>
      <c r="G63" s="70"/>
      <c r="H63" s="70"/>
      <c r="I63" s="70"/>
      <c r="J63" s="70"/>
      <c r="K63" s="70"/>
      <c r="L63" s="70"/>
      <c r="M63" s="70"/>
      <c r="N63" s="70"/>
      <c r="O63" s="70"/>
      <c r="P63" s="70"/>
      <c r="Q63" s="70"/>
      <c r="R63" s="70"/>
      <c r="S63" s="70"/>
      <c r="T63" s="70"/>
      <c r="U63" s="70"/>
      <c r="V63" s="70"/>
    </row>
    <row r="64" spans="1:22">
      <c r="A64" s="70"/>
      <c r="B64" s="70"/>
      <c r="C64" s="70"/>
      <c r="D64" s="70"/>
      <c r="E64" s="70"/>
      <c r="F64" s="70"/>
      <c r="G64" s="70"/>
      <c r="H64" s="70"/>
      <c r="I64" s="70"/>
      <c r="J64" s="70"/>
      <c r="K64" s="70"/>
      <c r="L64" s="70"/>
      <c r="M64" s="70"/>
      <c r="N64" s="70"/>
      <c r="O64" s="70"/>
      <c r="P64" s="70"/>
      <c r="Q64" s="70"/>
      <c r="R64" s="70"/>
      <c r="S64" s="70"/>
      <c r="T64" s="70"/>
      <c r="U64" s="70"/>
      <c r="V64" s="70"/>
    </row>
    <row r="65" spans="14:22">
      <c r="N65" s="70"/>
      <c r="O65" s="70"/>
      <c r="P65" s="70"/>
      <c r="Q65" s="70"/>
      <c r="R65" s="70"/>
      <c r="S65" s="70"/>
      <c r="T65" s="70"/>
      <c r="U65" s="70"/>
      <c r="V65" s="70"/>
    </row>
    <row r="66" spans="14:22">
      <c r="N66" s="70"/>
      <c r="O66" s="70"/>
      <c r="P66" s="70"/>
      <c r="Q66" s="70"/>
      <c r="R66" s="70"/>
      <c r="S66" s="70"/>
      <c r="T66" s="70"/>
      <c r="U66" s="70"/>
      <c r="V66" s="70"/>
    </row>
    <row r="67" spans="14:22">
      <c r="N67" s="70"/>
      <c r="O67" s="70"/>
      <c r="P67" s="70"/>
      <c r="Q67" s="70"/>
      <c r="R67" s="70"/>
      <c r="S67" s="70"/>
      <c r="T67" s="70"/>
      <c r="U67" s="70"/>
      <c r="V67" s="70"/>
    </row>
    <row r="68" spans="14:22">
      <c r="N68" s="70"/>
      <c r="O68" s="70"/>
      <c r="P68" s="70"/>
      <c r="Q68" s="70"/>
      <c r="R68" s="70"/>
      <c r="S68" s="70"/>
      <c r="T68" s="70"/>
      <c r="U68" s="70"/>
      <c r="V68" s="70"/>
    </row>
    <row r="69" spans="14:22">
      <c r="N69" s="70"/>
      <c r="O69" s="70"/>
      <c r="P69" s="70"/>
      <c r="Q69" s="70"/>
      <c r="R69" s="70"/>
      <c r="S69" s="70"/>
      <c r="T69" s="70"/>
      <c r="U69" s="70"/>
      <c r="V69" s="70"/>
    </row>
    <row r="70" spans="14:22">
      <c r="N70" s="70"/>
      <c r="O70" s="70"/>
      <c r="P70" s="70"/>
      <c r="Q70" s="70"/>
      <c r="R70" s="70"/>
      <c r="S70" s="70"/>
      <c r="T70" s="70"/>
      <c r="U70" s="70"/>
      <c r="V70" s="70"/>
    </row>
    <row r="71" spans="14:22">
      <c r="N71" s="70"/>
      <c r="O71" s="70"/>
      <c r="P71" s="70"/>
      <c r="Q71" s="70"/>
      <c r="R71" s="70"/>
      <c r="S71" s="70"/>
      <c r="T71" s="70"/>
      <c r="U71" s="70"/>
      <c r="V71" s="70"/>
    </row>
    <row r="72" spans="14:22">
      <c r="N72" s="70"/>
      <c r="O72" s="70"/>
      <c r="P72" s="70"/>
      <c r="Q72" s="70"/>
      <c r="R72" s="70"/>
      <c r="S72" s="70"/>
      <c r="T72" s="70"/>
      <c r="U72" s="70"/>
      <c r="V72" s="70"/>
    </row>
    <row r="73" spans="14:22">
      <c r="N73" s="70"/>
      <c r="O73" s="70"/>
      <c r="P73" s="70"/>
      <c r="Q73" s="70"/>
      <c r="R73" s="70"/>
      <c r="S73" s="70"/>
      <c r="T73" s="70"/>
      <c r="U73" s="70"/>
      <c r="V73" s="70"/>
    </row>
    <row r="74" spans="14:22">
      <c r="N74" s="70"/>
      <c r="O74" s="70"/>
      <c r="P74" s="70"/>
      <c r="Q74" s="70"/>
      <c r="R74" s="70"/>
      <c r="S74" s="70"/>
      <c r="T74" s="70"/>
      <c r="U74" s="70"/>
      <c r="V74" s="70"/>
    </row>
    <row r="75" spans="14:22">
      <c r="N75" s="70"/>
      <c r="O75" s="70"/>
      <c r="P75" s="70"/>
      <c r="Q75" s="70"/>
      <c r="R75" s="70"/>
      <c r="S75" s="70"/>
      <c r="T75" s="70"/>
      <c r="U75" s="70"/>
      <c r="V75" s="70"/>
    </row>
  </sheetData>
  <mergeCells count="15">
    <mergeCell ref="A11:M11"/>
    <mergeCell ref="A23:M23"/>
    <mergeCell ref="A8:A10"/>
    <mergeCell ref="B8:B10"/>
    <mergeCell ref="C8:C10"/>
    <mergeCell ref="D8:D10"/>
    <mergeCell ref="E8:E10"/>
    <mergeCell ref="F8:F10"/>
    <mergeCell ref="M8:M10"/>
    <mergeCell ref="B1:F1"/>
    <mergeCell ref="B2:F2"/>
    <mergeCell ref="G8:I8"/>
    <mergeCell ref="J8:L8"/>
    <mergeCell ref="G9:I9"/>
    <mergeCell ref="J9:L9"/>
  </mergeCells>
  <dataValidations count="1">
    <dataValidation type="list" allowBlank="1" showErrorMessage="1" promptTitle="dfdf" sqref="J17 G24:G28 J24:J27" xr:uid="{00000000-0002-0000-0500-000000000000}">
      <formula1>"Passed,Untested,Failed,Blocked"</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2"/>
  <sheetViews>
    <sheetView tabSelected="1" topLeftCell="A27" zoomScale="40" zoomScaleNormal="40" workbookViewId="0">
      <selection activeCell="B23" sqref="B23"/>
    </sheetView>
  </sheetViews>
  <sheetFormatPr defaultColWidth="9" defaultRowHeight="16.5"/>
  <cols>
    <col min="1" max="1" width="23.26953125" style="2" customWidth="1"/>
    <col min="2" max="2" width="21.6328125" style="2" customWidth="1"/>
    <col min="3" max="3" width="34.26953125" style="2" customWidth="1"/>
    <col min="4" max="4" width="38.08984375" style="2" customWidth="1"/>
    <col min="5" max="5" width="44.08984375" style="2" customWidth="1"/>
    <col min="6" max="6" width="36.36328125" style="2" customWidth="1"/>
    <col min="7" max="7" width="13.81640625" style="2" customWidth="1"/>
    <col min="8" max="8" width="18.26953125" style="2" customWidth="1"/>
    <col min="9" max="9" width="28" style="2" customWidth="1"/>
    <col min="10" max="10" width="13.81640625" style="2" customWidth="1"/>
    <col min="11" max="11" width="18.26953125" style="2" customWidth="1"/>
    <col min="12" max="12" width="19.6328125" style="2" customWidth="1"/>
    <col min="13" max="13" width="11" style="2" customWidth="1"/>
    <col min="14" max="16384" width="9" style="2"/>
  </cols>
  <sheetData>
    <row r="1" spans="1:13" s="1" customFormat="1" ht="15.75" customHeight="1">
      <c r="A1" s="3" t="s">
        <v>19</v>
      </c>
      <c r="B1" s="118" t="s">
        <v>2</v>
      </c>
      <c r="C1" s="118"/>
      <c r="D1" s="118"/>
      <c r="E1" s="118"/>
      <c r="F1" s="118"/>
      <c r="G1" s="4"/>
      <c r="H1" s="5"/>
      <c r="J1" s="4"/>
    </row>
    <row r="2" spans="1:13" s="1" customFormat="1">
      <c r="A2" s="3" t="s">
        <v>20</v>
      </c>
      <c r="B2" s="119" t="s">
        <v>17</v>
      </c>
      <c r="C2" s="119"/>
      <c r="D2" s="119"/>
      <c r="E2" s="119"/>
      <c r="F2" s="119"/>
      <c r="G2" s="4"/>
      <c r="H2" s="5"/>
      <c r="J2" s="4"/>
    </row>
    <row r="3" spans="1:13" s="1" customFormat="1" ht="16.5" customHeight="1">
      <c r="A3" s="6"/>
      <c r="B3" s="7" t="s">
        <v>21</v>
      </c>
      <c r="C3" s="7" t="s">
        <v>22</v>
      </c>
      <c r="D3" s="7" t="s">
        <v>23</v>
      </c>
      <c r="E3" s="7" t="s">
        <v>24</v>
      </c>
      <c r="F3" s="7" t="s">
        <v>25</v>
      </c>
      <c r="G3" s="4"/>
      <c r="H3" s="5"/>
      <c r="J3" s="4"/>
    </row>
    <row r="4" spans="1:13" s="1" customFormat="1">
      <c r="A4" s="8" t="s">
        <v>26</v>
      </c>
      <c r="B4" s="9">
        <v>17</v>
      </c>
      <c r="C4" s="9">
        <v>0</v>
      </c>
      <c r="D4" s="6">
        <f>COUNTIF(G12:G29,"Untested")</f>
        <v>0</v>
      </c>
      <c r="E4" s="10">
        <f>COUNTIF(G12:G29,"Blocked")</f>
        <v>0</v>
      </c>
      <c r="F4" s="6">
        <v>17</v>
      </c>
      <c r="G4" s="4"/>
      <c r="H4" s="5"/>
      <c r="J4" s="4"/>
    </row>
    <row r="5" spans="1:13" s="1" customFormat="1">
      <c r="A5" s="8" t="s">
        <v>27</v>
      </c>
      <c r="B5" s="9">
        <v>0</v>
      </c>
      <c r="C5" s="9">
        <v>0</v>
      </c>
      <c r="D5" s="6">
        <f>COUNTIF(J12:J29,"Untested")</f>
        <v>0</v>
      </c>
      <c r="E5" s="10">
        <f>COUNTIF(J12:J29,"Blocked")</f>
        <v>0</v>
      </c>
      <c r="F5" s="6">
        <v>0</v>
      </c>
      <c r="G5" s="4"/>
      <c r="H5" s="11"/>
      <c r="I5" s="12"/>
      <c r="J5" s="4"/>
    </row>
    <row r="6" spans="1:13" s="1" customFormat="1" ht="163.9" customHeight="1">
      <c r="A6" s="13"/>
      <c r="B6" s="14"/>
      <c r="C6" s="14"/>
      <c r="D6" s="15"/>
      <c r="E6" s="16"/>
      <c r="F6" s="15"/>
      <c r="G6" s="4"/>
      <c r="H6" s="11"/>
      <c r="I6" s="12"/>
      <c r="J6" s="4"/>
    </row>
    <row r="7" spans="1:13" s="1" customFormat="1" ht="409.5" customHeight="1">
      <c r="A7" s="17"/>
      <c r="B7" s="18"/>
      <c r="E7" s="19"/>
      <c r="G7" s="4"/>
      <c r="H7" s="5"/>
      <c r="J7" s="4"/>
    </row>
    <row r="8" spans="1:13" s="1" customFormat="1">
      <c r="A8" s="120" t="s">
        <v>28</v>
      </c>
      <c r="B8" s="120" t="s">
        <v>6</v>
      </c>
      <c r="C8" s="120" t="s">
        <v>29</v>
      </c>
      <c r="D8" s="120" t="s">
        <v>30</v>
      </c>
      <c r="E8" s="120" t="s">
        <v>31</v>
      </c>
      <c r="F8" s="120" t="s">
        <v>32</v>
      </c>
      <c r="G8" s="120" t="s">
        <v>33</v>
      </c>
      <c r="H8" s="120"/>
      <c r="I8" s="120"/>
      <c r="J8" s="120" t="s">
        <v>33</v>
      </c>
      <c r="K8" s="120"/>
      <c r="L8" s="120"/>
      <c r="M8" s="120" t="s">
        <v>34</v>
      </c>
    </row>
    <row r="9" spans="1:13" s="1" customFormat="1">
      <c r="A9" s="120"/>
      <c r="B9" s="120"/>
      <c r="C9" s="120"/>
      <c r="D9" s="120"/>
      <c r="E9" s="120"/>
      <c r="F9" s="120"/>
      <c r="G9" s="120" t="s">
        <v>35</v>
      </c>
      <c r="H9" s="120"/>
      <c r="I9" s="120"/>
      <c r="J9" s="120" t="s">
        <v>36</v>
      </c>
      <c r="K9" s="120"/>
      <c r="L9" s="120"/>
      <c r="M9" s="120"/>
    </row>
    <row r="10" spans="1:13" s="1" customFormat="1" ht="33.75" customHeight="1">
      <c r="A10" s="120"/>
      <c r="B10" s="120"/>
      <c r="C10" s="120"/>
      <c r="D10" s="120"/>
      <c r="E10" s="120"/>
      <c r="F10" s="120"/>
      <c r="G10" s="20" t="s">
        <v>37</v>
      </c>
      <c r="H10" s="21" t="s">
        <v>38</v>
      </c>
      <c r="I10" s="7" t="s">
        <v>39</v>
      </c>
      <c r="J10" s="20" t="s">
        <v>37</v>
      </c>
      <c r="K10" s="21" t="s">
        <v>38</v>
      </c>
      <c r="L10" s="7" t="s">
        <v>39</v>
      </c>
      <c r="M10" s="120"/>
    </row>
    <row r="11" spans="1:13" s="1" customFormat="1" ht="30" customHeight="1">
      <c r="A11" s="121" t="s">
        <v>453</v>
      </c>
      <c r="B11" s="121"/>
      <c r="C11" s="121"/>
      <c r="D11" s="121"/>
      <c r="E11" s="121"/>
      <c r="F11" s="121"/>
      <c r="G11" s="121"/>
      <c r="H11" s="121"/>
      <c r="I11" s="121"/>
      <c r="J11" s="121"/>
      <c r="K11" s="121"/>
      <c r="L11" s="121"/>
      <c r="M11" s="121"/>
    </row>
    <row r="12" spans="1:13" s="1" customFormat="1" ht="50.65" customHeight="1">
      <c r="A12" s="22" t="s">
        <v>454</v>
      </c>
      <c r="B12" s="23" t="s">
        <v>455</v>
      </c>
      <c r="C12" s="24"/>
      <c r="D12" s="24" t="s">
        <v>149</v>
      </c>
      <c r="E12" s="108" t="s">
        <v>150</v>
      </c>
      <c r="F12" s="108" t="s">
        <v>150</v>
      </c>
      <c r="G12" s="26" t="s">
        <v>60</v>
      </c>
      <c r="H12" s="27">
        <v>46331</v>
      </c>
      <c r="I12" s="28" t="s">
        <v>151</v>
      </c>
      <c r="J12" s="24"/>
      <c r="K12" s="24"/>
      <c r="L12" s="24"/>
      <c r="M12" s="24"/>
    </row>
    <row r="13" spans="1:13" s="1" customFormat="1" ht="50.65" customHeight="1">
      <c r="A13" s="22" t="s">
        <v>456</v>
      </c>
      <c r="B13" s="23" t="s">
        <v>457</v>
      </c>
      <c r="C13" s="24"/>
      <c r="D13" s="24" t="s">
        <v>149</v>
      </c>
      <c r="E13" s="108" t="s">
        <v>154</v>
      </c>
      <c r="F13" s="108" t="s">
        <v>154</v>
      </c>
      <c r="G13" s="26" t="s">
        <v>60</v>
      </c>
      <c r="H13" s="27">
        <v>46331</v>
      </c>
      <c r="I13" s="28" t="s">
        <v>151</v>
      </c>
      <c r="J13" s="24"/>
      <c r="K13" s="24"/>
      <c r="L13" s="24"/>
      <c r="M13" s="24"/>
    </row>
    <row r="14" spans="1:13" s="1" customFormat="1" ht="51" customHeight="1">
      <c r="A14" s="22" t="s">
        <v>458</v>
      </c>
      <c r="B14" s="23" t="s">
        <v>168</v>
      </c>
      <c r="C14" s="24"/>
      <c r="D14" s="24" t="s">
        <v>149</v>
      </c>
      <c r="E14" s="108" t="s">
        <v>459</v>
      </c>
      <c r="F14" s="108" t="s">
        <v>459</v>
      </c>
      <c r="G14" s="26" t="s">
        <v>60</v>
      </c>
      <c r="H14" s="27">
        <v>46331</v>
      </c>
      <c r="I14" s="28" t="s">
        <v>151</v>
      </c>
      <c r="J14" s="24"/>
      <c r="K14" s="24"/>
      <c r="L14" s="24"/>
      <c r="M14" s="24"/>
    </row>
    <row r="15" spans="1:13" s="1" customFormat="1" ht="50.15" customHeight="1">
      <c r="A15" s="22" t="s">
        <v>460</v>
      </c>
      <c r="B15" s="23" t="s">
        <v>238</v>
      </c>
      <c r="C15" s="24"/>
      <c r="D15" s="24" t="s">
        <v>149</v>
      </c>
      <c r="E15" s="108" t="s">
        <v>461</v>
      </c>
      <c r="F15" s="108" t="s">
        <v>461</v>
      </c>
      <c r="G15" s="26" t="s">
        <v>60</v>
      </c>
      <c r="H15" s="27">
        <v>46331</v>
      </c>
      <c r="I15" s="28" t="s">
        <v>151</v>
      </c>
      <c r="J15" s="24"/>
      <c r="K15" s="24"/>
      <c r="L15" s="24"/>
      <c r="M15" s="24"/>
    </row>
    <row r="16" spans="1:13" s="1" customFormat="1" ht="50.15" customHeight="1">
      <c r="A16" s="22" t="s">
        <v>462</v>
      </c>
      <c r="B16" s="23" t="s">
        <v>463</v>
      </c>
      <c r="C16" s="24"/>
      <c r="D16" s="24" t="s">
        <v>149</v>
      </c>
      <c r="E16" s="108" t="s">
        <v>459</v>
      </c>
      <c r="F16" s="108" t="s">
        <v>459</v>
      </c>
      <c r="G16" s="26" t="s">
        <v>60</v>
      </c>
      <c r="H16" s="27">
        <v>46331</v>
      </c>
      <c r="I16" s="28" t="s">
        <v>151</v>
      </c>
      <c r="J16" s="24"/>
      <c r="K16" s="24"/>
      <c r="L16" s="24"/>
      <c r="M16" s="24"/>
    </row>
    <row r="17" spans="1:14" s="1" customFormat="1" ht="50.65" customHeight="1">
      <c r="A17" s="22" t="s">
        <v>464</v>
      </c>
      <c r="B17" s="23" t="s">
        <v>241</v>
      </c>
      <c r="C17" s="24"/>
      <c r="D17" s="24" t="s">
        <v>149</v>
      </c>
      <c r="E17" s="108" t="s">
        <v>461</v>
      </c>
      <c r="F17" s="108" t="s">
        <v>461</v>
      </c>
      <c r="G17" s="26" t="s">
        <v>60</v>
      </c>
      <c r="H17" s="27">
        <v>46331</v>
      </c>
      <c r="I17" s="28" t="s">
        <v>151</v>
      </c>
      <c r="J17" s="24"/>
      <c r="K17" s="24"/>
      <c r="L17" s="24"/>
      <c r="M17" s="24"/>
    </row>
    <row r="18" spans="1:14" s="1" customFormat="1" ht="50.65" customHeight="1">
      <c r="A18" s="22" t="s">
        <v>465</v>
      </c>
      <c r="B18" s="23" t="s">
        <v>69</v>
      </c>
      <c r="C18" s="24"/>
      <c r="D18" s="24" t="s">
        <v>149</v>
      </c>
      <c r="E18" s="108" t="s">
        <v>466</v>
      </c>
      <c r="F18" s="108" t="s">
        <v>466</v>
      </c>
      <c r="G18" s="26" t="s">
        <v>60</v>
      </c>
      <c r="H18" s="27">
        <v>46331</v>
      </c>
      <c r="I18" s="28" t="s">
        <v>151</v>
      </c>
      <c r="J18" s="24"/>
      <c r="K18" s="24"/>
      <c r="L18" s="24"/>
      <c r="M18" s="24"/>
    </row>
    <row r="19" spans="1:14" s="1" customFormat="1" ht="50.65" customHeight="1">
      <c r="A19" s="22" t="s">
        <v>467</v>
      </c>
      <c r="B19" s="23" t="s">
        <v>468</v>
      </c>
      <c r="C19" s="24"/>
      <c r="D19" s="24" t="s">
        <v>149</v>
      </c>
      <c r="E19" s="108" t="s">
        <v>459</v>
      </c>
      <c r="F19" s="108" t="s">
        <v>459</v>
      </c>
      <c r="G19" s="26" t="s">
        <v>60</v>
      </c>
      <c r="H19" s="27">
        <v>46331</v>
      </c>
      <c r="I19" s="28" t="s">
        <v>151</v>
      </c>
      <c r="J19" s="24"/>
      <c r="K19" s="24"/>
      <c r="L19" s="24"/>
      <c r="M19" s="24"/>
    </row>
    <row r="20" spans="1:14" s="1" customFormat="1" ht="50.15" hidden="1" customHeight="1">
      <c r="A20" s="22"/>
      <c r="B20" s="23"/>
      <c r="C20" s="24"/>
      <c r="D20" s="24"/>
      <c r="E20" s="25"/>
      <c r="F20" s="25"/>
      <c r="G20" s="26"/>
      <c r="H20" s="27"/>
      <c r="I20" s="28"/>
      <c r="J20" s="29"/>
      <c r="K20" s="27"/>
      <c r="L20" s="28"/>
      <c r="M20" s="24"/>
    </row>
    <row r="21" spans="1:14" s="1" customFormat="1" ht="50.15" hidden="1" customHeight="1">
      <c r="A21" s="22"/>
      <c r="B21" s="23"/>
      <c r="C21" s="24"/>
      <c r="D21" s="24"/>
      <c r="E21" s="25"/>
      <c r="F21" s="25"/>
      <c r="G21" s="26"/>
      <c r="H21" s="27"/>
      <c r="I21" s="28"/>
      <c r="J21" s="29"/>
      <c r="K21" s="27"/>
      <c r="L21" s="28"/>
      <c r="M21" s="24"/>
    </row>
    <row r="22" spans="1:14" s="1" customFormat="1" ht="30" customHeight="1">
      <c r="A22" s="123" t="s">
        <v>469</v>
      </c>
      <c r="B22" s="123"/>
      <c r="C22" s="123"/>
      <c r="D22" s="123"/>
      <c r="E22" s="123"/>
      <c r="F22" s="123"/>
      <c r="G22" s="123"/>
      <c r="H22" s="123"/>
      <c r="I22" s="123"/>
      <c r="J22" s="123"/>
      <c r="K22" s="123"/>
      <c r="L22" s="123"/>
      <c r="M22" s="123"/>
    </row>
    <row r="23" spans="1:14" s="1" customFormat="1" ht="63" customHeight="1">
      <c r="A23" s="135" t="s">
        <v>470</v>
      </c>
      <c r="B23" s="135" t="s">
        <v>471</v>
      </c>
      <c r="C23" s="135" t="s">
        <v>472</v>
      </c>
      <c r="D23" s="144" t="s">
        <v>149</v>
      </c>
      <c r="E23" s="137" t="s">
        <v>473</v>
      </c>
      <c r="F23" s="137" t="s">
        <v>473</v>
      </c>
      <c r="G23" s="26" t="s">
        <v>60</v>
      </c>
      <c r="H23" s="27">
        <v>46331</v>
      </c>
      <c r="I23" s="28" t="s">
        <v>151</v>
      </c>
      <c r="J23" s="24"/>
      <c r="K23" s="24"/>
      <c r="L23" s="24"/>
      <c r="M23" s="24"/>
    </row>
    <row r="24" spans="1:14" ht="77" customHeight="1">
      <c r="A24" s="135" t="s">
        <v>474</v>
      </c>
      <c r="B24" s="135" t="s">
        <v>475</v>
      </c>
      <c r="C24" s="135" t="s">
        <v>476</v>
      </c>
      <c r="D24" s="144" t="s">
        <v>149</v>
      </c>
      <c r="E24" s="137" t="s">
        <v>477</v>
      </c>
      <c r="F24" s="137" t="s">
        <v>477</v>
      </c>
      <c r="G24" s="26" t="s">
        <v>60</v>
      </c>
      <c r="H24" s="27">
        <v>46331</v>
      </c>
      <c r="I24" s="28" t="s">
        <v>151</v>
      </c>
      <c r="J24" s="24"/>
      <c r="K24" s="24"/>
      <c r="L24" s="24"/>
      <c r="M24" s="24"/>
      <c r="N24" s="1"/>
    </row>
    <row r="25" spans="1:14" ht="71.5" customHeight="1">
      <c r="A25" s="135" t="s">
        <v>478</v>
      </c>
      <c r="B25" s="135" t="s">
        <v>475</v>
      </c>
      <c r="C25" s="135" t="s">
        <v>479</v>
      </c>
      <c r="D25" s="144" t="s">
        <v>149</v>
      </c>
      <c r="E25" s="137" t="s">
        <v>480</v>
      </c>
      <c r="F25" s="137" t="s">
        <v>481</v>
      </c>
      <c r="G25" s="26" t="s">
        <v>60</v>
      </c>
      <c r="H25" s="27">
        <v>46331</v>
      </c>
      <c r="I25" s="28" t="s">
        <v>151</v>
      </c>
      <c r="J25" s="24"/>
      <c r="K25" s="24"/>
      <c r="L25" s="24"/>
      <c r="M25" s="24"/>
      <c r="N25" s="1"/>
    </row>
    <row r="26" spans="1:14" ht="81" customHeight="1">
      <c r="A26" s="135" t="s">
        <v>482</v>
      </c>
      <c r="B26" s="135" t="s">
        <v>483</v>
      </c>
      <c r="C26" s="135" t="s">
        <v>484</v>
      </c>
      <c r="D26" s="144" t="s">
        <v>149</v>
      </c>
      <c r="E26" s="137" t="s">
        <v>485</v>
      </c>
      <c r="F26" s="137" t="s">
        <v>486</v>
      </c>
      <c r="G26" s="26" t="s">
        <v>60</v>
      </c>
      <c r="H26" s="27">
        <v>46331</v>
      </c>
      <c r="I26" s="28" t="s">
        <v>151</v>
      </c>
      <c r="J26" s="24"/>
      <c r="K26" s="24"/>
      <c r="L26" s="24"/>
      <c r="M26" s="24"/>
      <c r="N26" s="1"/>
    </row>
    <row r="27" spans="1:14" ht="86" customHeight="1">
      <c r="A27" s="135" t="s">
        <v>487</v>
      </c>
      <c r="B27" s="135" t="s">
        <v>488</v>
      </c>
      <c r="C27" s="135" t="s">
        <v>489</v>
      </c>
      <c r="D27" s="144" t="s">
        <v>149</v>
      </c>
      <c r="E27" s="137" t="s">
        <v>490</v>
      </c>
      <c r="F27" s="137" t="s">
        <v>491</v>
      </c>
      <c r="G27" s="26" t="s">
        <v>60</v>
      </c>
      <c r="H27" s="27">
        <v>46331</v>
      </c>
      <c r="I27" s="28" t="s">
        <v>151</v>
      </c>
      <c r="J27" s="29"/>
      <c r="K27" s="27"/>
      <c r="L27" s="28"/>
      <c r="M27" s="24"/>
    </row>
    <row r="28" spans="1:14" ht="103.5" customHeight="1">
      <c r="A28" s="135" t="s">
        <v>492</v>
      </c>
      <c r="B28" s="135" t="s">
        <v>493</v>
      </c>
      <c r="C28" s="135" t="s">
        <v>494</v>
      </c>
      <c r="D28" s="144" t="s">
        <v>149</v>
      </c>
      <c r="E28" s="137" t="s">
        <v>495</v>
      </c>
      <c r="F28" s="137" t="s">
        <v>495</v>
      </c>
      <c r="G28" s="26" t="s">
        <v>60</v>
      </c>
      <c r="H28" s="27">
        <v>46331</v>
      </c>
      <c r="I28" s="28" t="s">
        <v>151</v>
      </c>
      <c r="J28" s="29"/>
      <c r="K28" s="27"/>
      <c r="L28" s="28"/>
      <c r="M28" s="24"/>
    </row>
    <row r="29" spans="1:14" ht="69.5" customHeight="1">
      <c r="A29" s="135" t="s">
        <v>496</v>
      </c>
      <c r="B29" s="135" t="s">
        <v>497</v>
      </c>
      <c r="C29" s="135" t="s">
        <v>498</v>
      </c>
      <c r="D29" s="144" t="s">
        <v>149</v>
      </c>
      <c r="E29" s="137" t="s">
        <v>499</v>
      </c>
      <c r="F29" s="137" t="s">
        <v>500</v>
      </c>
      <c r="G29" s="26" t="s">
        <v>60</v>
      </c>
      <c r="H29" s="27">
        <v>46331</v>
      </c>
      <c r="I29" s="28" t="s">
        <v>151</v>
      </c>
      <c r="J29" s="29"/>
      <c r="K29" s="27"/>
      <c r="L29" s="28"/>
      <c r="M29" s="24"/>
    </row>
    <row r="30" spans="1:14" ht="95.5" customHeight="1">
      <c r="A30" s="135" t="s">
        <v>501</v>
      </c>
      <c r="B30" s="135" t="s">
        <v>502</v>
      </c>
      <c r="C30" s="135" t="s">
        <v>503</v>
      </c>
      <c r="D30" s="144" t="s">
        <v>149</v>
      </c>
      <c r="E30" s="137" t="s">
        <v>504</v>
      </c>
      <c r="F30" s="137" t="s">
        <v>505</v>
      </c>
      <c r="G30" s="26" t="s">
        <v>60</v>
      </c>
      <c r="H30" s="27">
        <v>46331</v>
      </c>
      <c r="I30" s="28" t="s">
        <v>151</v>
      </c>
      <c r="J30" s="29"/>
      <c r="K30" s="27"/>
      <c r="L30" s="28"/>
      <c r="M30" s="24"/>
    </row>
    <row r="31" spans="1:14" ht="95" customHeight="1">
      <c r="A31" s="135" t="s">
        <v>506</v>
      </c>
      <c r="B31" s="135" t="s">
        <v>507</v>
      </c>
      <c r="C31" s="135" t="s">
        <v>508</v>
      </c>
      <c r="D31" s="144" t="s">
        <v>149</v>
      </c>
      <c r="E31" s="137" t="s">
        <v>509</v>
      </c>
      <c r="F31" s="137" t="s">
        <v>510</v>
      </c>
      <c r="G31" s="26" t="s">
        <v>60</v>
      </c>
      <c r="H31" s="27">
        <v>46331</v>
      </c>
      <c r="I31" s="28" t="s">
        <v>151</v>
      </c>
      <c r="J31" s="24"/>
      <c r="K31" s="24"/>
      <c r="L31" s="24"/>
      <c r="M31" s="24"/>
    </row>
    <row r="32" spans="1:14">
      <c r="A32" s="30"/>
      <c r="B32" s="30"/>
      <c r="C32" s="30"/>
      <c r="D32" s="31"/>
      <c r="E32" s="32"/>
      <c r="F32" s="32"/>
      <c r="G32" s="33"/>
      <c r="H32" s="34"/>
      <c r="I32" s="35"/>
      <c r="J32" s="33"/>
      <c r="K32" s="34"/>
      <c r="L32" s="35"/>
      <c r="M32" s="31"/>
    </row>
  </sheetData>
  <mergeCells count="15">
    <mergeCell ref="A11:M11"/>
    <mergeCell ref="A22:M22"/>
    <mergeCell ref="A8:A10"/>
    <mergeCell ref="B8:B10"/>
    <mergeCell ref="C8:C10"/>
    <mergeCell ref="D8:D10"/>
    <mergeCell ref="E8:E10"/>
    <mergeCell ref="F8:F10"/>
    <mergeCell ref="M8:M10"/>
    <mergeCell ref="B1:F1"/>
    <mergeCell ref="B2:F2"/>
    <mergeCell ref="G8:I8"/>
    <mergeCell ref="J8:L8"/>
    <mergeCell ref="G9:I9"/>
    <mergeCell ref="J9:L9"/>
  </mergeCells>
  <dataValidations count="1">
    <dataValidation type="list" allowBlank="1" showErrorMessage="1" promptTitle="dfdf" sqref="G32 J32 G12:G19 G20:G21 G23:G31 J20:J21 J27:J30" xr:uid="{00000000-0002-0000-0600-000000000000}">
      <formula1>"Passed,Untested,Failed,Blocked"</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Trường hợp kiểm thử</vt:lpstr>
      <vt:lpstr>Quản lý đánh giá</vt:lpstr>
      <vt:lpstr>Quản lý đơn hàng</vt:lpstr>
      <vt:lpstr>Quản lý chương trình giảm giá</vt:lpstr>
      <vt:lpstr>Thống kê và báo cáo</vt:lpstr>
      <vt:lpstr>Nâng cấp gói hội viên</vt:lpstr>
      <vt:lpstr>Quản lý gói hội viên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thang thang</cp:lastModifiedBy>
  <dcterms:created xsi:type="dcterms:W3CDTF">2026-05-07T02:24:28Z</dcterms:created>
  <dcterms:modified xsi:type="dcterms:W3CDTF">2026-05-07T08:02:03Z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003E297141BC41E688FAEC33FD7EAD65_11</vt:lpwstr>
  </property>
  <property fmtid="{D5CDD505-2E9C-101B-9397-08002B2CF9AE}" pid="3" name="KSOProductBuildVer">
    <vt:lpwstr>1033-12.1.0.25862</vt:lpwstr>
  </property>
  <property fmtid="{D5CDD505-2E9C-101B-9397-08002B2CF9AE}" pid="4" name="CalculationRule">
    <vt:i4>1</vt:i4>
  </property>
</Properties>
</file>