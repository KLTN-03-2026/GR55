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Bao Cao Tai Lieu KLTN\"/>
    </mc:Choice>
  </mc:AlternateContent>
  <xr:revisionPtr revIDLastSave="0" documentId="13_ncr:1_{3D921FEB-5C87-437E-B162-302D83A88A0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print1" sheetId="5" r:id="rId1"/>
    <sheet name="Sprint2" sheetId="6" r:id="rId2"/>
    <sheet name="Sprint3" sheetId="7" r:id="rId3"/>
  </sheets>
  <definedNames>
    <definedName name="_xlnm._FilterDatabase" localSheetId="0" hidden="1">Sprint1!$B$121:$AD$247</definedName>
    <definedName name="_xlnm._FilterDatabase" localSheetId="1" hidden="1">Sprint2!$A$107:$Z$207</definedName>
    <definedName name="_xlnm._FilterDatabase" localSheetId="2" hidden="1">Sprint3!$A$72:$X$134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4" i="7" l="1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D14" i="7"/>
  <c r="D13" i="7"/>
  <c r="D12" i="7"/>
  <c r="D11" i="7"/>
  <c r="D10" i="7"/>
  <c r="E10" i="7"/>
  <c r="G134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G133" i="7"/>
  <c r="E14" i="7"/>
  <c r="E13" i="7"/>
  <c r="E12" i="7"/>
  <c r="E11" i="7"/>
  <c r="D14" i="6"/>
  <c r="D13" i="6"/>
  <c r="D12" i="6"/>
  <c r="D11" i="6"/>
  <c r="D10" i="6"/>
  <c r="D14" i="5"/>
  <c r="D13" i="5"/>
  <c r="D12" i="5"/>
  <c r="D11" i="5"/>
  <c r="D10" i="5"/>
  <c r="E14" i="6"/>
  <c r="E13" i="6"/>
  <c r="E12" i="6"/>
  <c r="E11" i="6"/>
  <c r="E10" i="6"/>
  <c r="E10" i="5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G117" i="5"/>
  <c r="G207" i="6"/>
  <c r="G206" i="6"/>
  <c r="E15" i="7" l="1"/>
  <c r="D15" i="5"/>
  <c r="E15" i="6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G247" i="5"/>
  <c r="AD246" i="5" l="1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G246" i="5"/>
  <c r="E14" i="5"/>
  <c r="E13" i="5"/>
  <c r="E12" i="5"/>
  <c r="E11" i="5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G69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G68" i="7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G104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G103" i="6"/>
  <c r="E15" i="5" l="1"/>
  <c r="D15" i="7"/>
  <c r="D15" i="6"/>
  <c r="G118" i="5" l="1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I118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J117" i="5"/>
  <c r="I117" i="5"/>
</calcChain>
</file>

<file path=xl/sharedStrings.xml><?xml version="1.0" encoding="utf-8"?>
<sst xmlns="http://schemas.openxmlformats.org/spreadsheetml/2006/main" count="1108" uniqueCount="283">
  <si>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</si>
  <si>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</si>
  <si>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</si>
  <si>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</si>
  <si>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</si>
  <si>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</si>
  <si>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</si>
  <si>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</si>
  <si>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</si>
  <si>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</si>
  <si>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</si>
  <si>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</si>
  <si>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</si>
  <si>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Design test case</t>
  </si>
  <si>
    <t>Coding</t>
  </si>
  <si>
    <t>Testing</t>
  </si>
  <si>
    <t>Re-testing</t>
  </si>
  <si>
    <t>All team</t>
  </si>
  <si>
    <t>Ước tính</t>
  </si>
  <si>
    <t>Thành viên</t>
  </si>
  <si>
    <t>Trước thời hạn</t>
  </si>
  <si>
    <t>Muộn</t>
  </si>
  <si>
    <t>Nguyễn Hùng Thắng</t>
  </si>
  <si>
    <t xml:space="preserve">Tổng </t>
  </si>
  <si>
    <t>Thiết kế trường kiểm thử cho Đăng nhập, Đăng xuất</t>
  </si>
  <si>
    <t>Thiết kế trường kiểm thử cho Đăng ký</t>
  </si>
  <si>
    <t>Thiết kế trường kiểm thử cho Quên mật khẩu</t>
  </si>
  <si>
    <t>Thiết kế trường kiểm thử cho Tìm kiếm sách</t>
  </si>
  <si>
    <t>Thiết kế trường kiểm thử cho Lọc sách theo thể loại</t>
  </si>
  <si>
    <t>Thiết kế trường kiểm thử cho Đọc sách miễn phí</t>
  </si>
  <si>
    <t>Thiết kế trường kiểm thử cho Quản lý tài khoản cá nhân</t>
  </si>
  <si>
    <t>Thiết kế trường kiểm thử cho Quản lý giỏ hàng</t>
  </si>
  <si>
    <t>Thiết kế trường kiểm thử cho Mua sách</t>
  </si>
  <si>
    <t>Thiết kế trường kiểm thử cho Thanh toán</t>
  </si>
  <si>
    <t>Thiết kế trường kiểm thử cho Quản lý thư viện cá nhân</t>
  </si>
  <si>
    <t>Thiết kê front-end cho form Đăng nhập, Đăng xuất</t>
  </si>
  <si>
    <t>Thiết kê front-end cho form Đăng ký</t>
  </si>
  <si>
    <t>Code back-end cho Quên mật khẩu</t>
  </si>
  <si>
    <t>Thiết kê front-end cho Trang chủ</t>
  </si>
  <si>
    <t>Kiểm tra Đăng nhập, Đăng xuất</t>
  </si>
  <si>
    <t>Kiểm tra Đăng ký</t>
  </si>
  <si>
    <t>Kiểm tra Quên mật khẩu</t>
  </si>
  <si>
    <t>Kiểm tra Tìm kiếm sách</t>
  </si>
  <si>
    <t>Kiểm tra Lọc sách theo thể loại</t>
  </si>
  <si>
    <t>Kiểm tra Đọc sách miễn phí</t>
  </si>
  <si>
    <t>Kiểm tra Quản lý tài khoản cá nhân</t>
  </si>
  <si>
    <t>Kiểm tra Quản lý giỏ hàng</t>
  </si>
  <si>
    <t>Kiểm tra Mua sách</t>
  </si>
  <si>
    <t>Kiểm tra Thanh toán</t>
  </si>
  <si>
    <t>Kiểm tra Quản lý thư viện cá nhân</t>
  </si>
  <si>
    <t>Sửa lỗi back-end Đăng nhập, Đăng xuất</t>
  </si>
  <si>
    <t>Sửa lỗi back-end Đăng ký</t>
  </si>
  <si>
    <t>Sửa lỗi front-end Quên mật khẩu</t>
  </si>
  <si>
    <t>Sửa lỗi back-end Quên mật khẩu</t>
  </si>
  <si>
    <t>Sửa lỗi back-end Tìm kiếm sách</t>
  </si>
  <si>
    <t>Sửa lỗi back-end Lọc sách theo thể loại</t>
  </si>
  <si>
    <t>Sửa lỗi back-end Đọc sách miễn phí</t>
  </si>
  <si>
    <t>Sửa lỗi back-end Quản lý tài khoản cá nhân</t>
  </si>
  <si>
    <t>Sửa lỗi back-end Quản lý giỏ hàng</t>
  </si>
  <si>
    <t>Sửa lỗi back-end Mua sách</t>
  </si>
  <si>
    <t>Sửa lỗi back-end Thanh toán</t>
  </si>
  <si>
    <t>Sửa lỗi back-end Quản lý thư viện cá nhân</t>
  </si>
  <si>
    <t>Kiểm tra lại Đăng nhập, Đăng xuất</t>
  </si>
  <si>
    <t>Kiểm tra lại Đăng ký</t>
  </si>
  <si>
    <t>Kiểm tra lại Quên mật khẩu</t>
  </si>
  <si>
    <t>Kiểm tra lại Tìm kiếm sách</t>
  </si>
  <si>
    <t>Kiểm tra lại Lọc sách theo thể loại</t>
  </si>
  <si>
    <t>Kiểm tra lại Đọc sách miễn phí</t>
  </si>
  <si>
    <t>Kiểm tra lại Quản lý tài khoản cá nhân</t>
  </si>
  <si>
    <t>Kiểm tra lại Quản lý giỏ hàng</t>
  </si>
  <si>
    <t>Kiểm tra lại Thanh toán</t>
  </si>
  <si>
    <t>Kiểm tra lại Mua sách</t>
  </si>
  <si>
    <t>Kiểm tra lại Quản lý thư viện cá nhân</t>
  </si>
  <si>
    <t>Kết thúc Sprint 1</t>
  </si>
  <si>
    <t>Code back-end cho Đăng ký</t>
  </si>
  <si>
    <t>Code back-end cho Đăng nhập, Đăng xuất</t>
  </si>
  <si>
    <t>Code back-end cho Tìm kiếm sách</t>
  </si>
  <si>
    <t>Code back-end cho Lọc sách theo thể loại</t>
  </si>
  <si>
    <t>Code back-end cho Đọc sách miễn phí</t>
  </si>
  <si>
    <t>Code back-end cho Quản lý tài khoản cá nhân</t>
  </si>
  <si>
    <t>Code back-end cho Quản lý giỏ hàng</t>
  </si>
  <si>
    <t>Code back-end cho Mua sách</t>
  </si>
  <si>
    <t>Code back-end cho Thanh toán</t>
  </si>
  <si>
    <t>Thiết kê front-end cho trang Quản lý tài khoản cá nhân</t>
  </si>
  <si>
    <t>Thiết kê front-end cho trang Quản lý giỏ hàng</t>
  </si>
  <si>
    <t>Thiết kê front-end cho trang Quản lý thư viện cá nhân</t>
  </si>
  <si>
    <t>Code back-end cho Quản lý thư viện cá nhân</t>
  </si>
  <si>
    <t>Sửa lỗi front-end Tìm kiếm sách</t>
  </si>
  <si>
    <t>DỰ KIẾN</t>
  </si>
  <si>
    <t>THỰC TẾ</t>
  </si>
  <si>
    <t>Khởi động Sprint 1</t>
  </si>
  <si>
    <t>Họp kế hoạch Sprint</t>
  </si>
  <si>
    <t>Tạo tài liệu Sprint Backlog 1</t>
  </si>
  <si>
    <t>Tạo tài liệu TestCase Sprint 1</t>
  </si>
  <si>
    <t>H.Thắng</t>
  </si>
  <si>
    <t>Nhung</t>
  </si>
  <si>
    <t>Thúy</t>
  </si>
  <si>
    <t>Thiết kế trường kiểm thử cho Quản lý sách</t>
  </si>
  <si>
    <t>Thiết kế trường kiểm thử cho Xem trang chủ</t>
  </si>
  <si>
    <t>Thiết kế trường kiểm thử cho Xem đánh giá sách</t>
  </si>
  <si>
    <t>Thiết kế trường kiểm thử cho Quản lý danh mục sách</t>
  </si>
  <si>
    <t>Thiết kế trường kiểm thử cho Quản lý người dùng</t>
  </si>
  <si>
    <t>Thiết kế trường kiểm thử cho Xem thông tin chi tiết sách</t>
  </si>
  <si>
    <t>Q.Thắng</t>
  </si>
  <si>
    <t>Nam</t>
  </si>
  <si>
    <t>Thiết kê front-end cho Quên mật khẩu, form đặt lịa mật khẩu</t>
  </si>
  <si>
    <t>Code back-end cho Quản lý danh mục sách</t>
  </si>
  <si>
    <t>Code back-end cho Quản lý sách</t>
  </si>
  <si>
    <t>Code back-end cho Quản lý người dùng</t>
  </si>
  <si>
    <t>Thiết kê front-end cho trang Quản lý người dùng</t>
  </si>
  <si>
    <t>Thiết kê front-end cho trang Quản lý danh mục sách</t>
  </si>
  <si>
    <t>Thiết kê front-end cho trang Quản lý sách</t>
  </si>
  <si>
    <t>Code back-end cho Xem trang chủ</t>
  </si>
  <si>
    <t>Code back-end cho Xem thông tin chi tiết sách</t>
  </si>
  <si>
    <t>Thiết kê front-end cho trang Thông tin chi tiết sách</t>
  </si>
  <si>
    <t>Code back-end cho Xem đánh giá sách</t>
  </si>
  <si>
    <t>Thiết kê front-end cho trang Đánh giá sách</t>
  </si>
  <si>
    <t>Kiểm tra Quản lý danh mục sách</t>
  </si>
  <si>
    <t>Kiểm tra Quản lý sách</t>
  </si>
  <si>
    <t>Kiểm tra Quản lý người dùng</t>
  </si>
  <si>
    <t>Kiểm tra Xem trang chủ</t>
  </si>
  <si>
    <t>Kiểm tra Xem thông tin chi tiết sách</t>
  </si>
  <si>
    <t>Kiểm tra Xem đánh giá sách</t>
  </si>
  <si>
    <t>Fix Bug</t>
  </si>
  <si>
    <t>Sửa lỗi front-end Đăng nhập, Đăng xuất</t>
  </si>
  <si>
    <t>Sửa lỗi back-end Quản lý danh mục sách</t>
  </si>
  <si>
    <t xml:space="preserve">Sửa lỗi front-end Quản lý danh mục sách </t>
  </si>
  <si>
    <t>Sửa lỗi back-end Quản lý sách</t>
  </si>
  <si>
    <t>Sửa lỗi front-end Quản lý sách</t>
  </si>
  <si>
    <t>Sửa lỗi back-end Quản lý người dùng</t>
  </si>
  <si>
    <t>Sửa lỗi front-end Quản lý người dùng</t>
  </si>
  <si>
    <t>Sửa lỗi back-end Xem trang chủ</t>
  </si>
  <si>
    <t>Sửa lỗi front-end Xem trang chủ</t>
  </si>
  <si>
    <t>Sửa lỗi back-end Xem thông tin chi tiết sách</t>
  </si>
  <si>
    <t>Sửa lỗi front-end Xem thông tin chi tiết sách</t>
  </si>
  <si>
    <t>Sửa lỗi back-end Xem đánh giá sách</t>
  </si>
  <si>
    <t>Sửa lỗi front-end Xem đánh giá sách</t>
  </si>
  <si>
    <t>Sửa lỗi front-end Quản lý tài khoản cá nhân</t>
  </si>
  <si>
    <t>Sửa lỗi front-end Quản lý giỏ hàng</t>
  </si>
  <si>
    <t>Sửa lỗi front-end Quản lý thư viện cá nhân</t>
  </si>
  <si>
    <t>Kiểm tra lại Quản lý danh mục sách</t>
  </si>
  <si>
    <t>Kiểm tra lại Quản lý sách</t>
  </si>
  <si>
    <t>Kiểm tra lại Quản lý người dùng</t>
  </si>
  <si>
    <t>Kiểm tra lại Xem trang chủ</t>
  </si>
  <si>
    <t>Kiểm tra lại Xem thông tin chi tiết sách</t>
  </si>
  <si>
    <t>Kiểm tra lại Xem đánh giá sách</t>
  </si>
  <si>
    <t>Sprint Review 1</t>
  </si>
  <si>
    <t>Sprint Retrospective 1</t>
  </si>
  <si>
    <t>Cập nhật tài liệu Sprint Backlog 1</t>
  </si>
  <si>
    <t>Cập nhật tài liệu Meeting Report 1</t>
  </si>
  <si>
    <t>Tạo tài liệu TestReport 1</t>
  </si>
  <si>
    <t>Phan Quang Thắng</t>
  </si>
  <si>
    <t>Nguyễn Thị Hồng Nhung</t>
  </si>
  <si>
    <t>Trương Đình Nam</t>
  </si>
  <si>
    <t>Đồng Thị Thúy</t>
  </si>
  <si>
    <t>19/3/2026</t>
  </si>
  <si>
    <t>Khởi động Sprint 2</t>
  </si>
  <si>
    <t>Tạo tài liệu Sprint Backlog 2</t>
  </si>
  <si>
    <t>Tạo tài liệu TestCase Sprint 2</t>
  </si>
  <si>
    <t>Thiết kế trường kiểm thử cho Đọc thử sách hội viên, trả phí</t>
  </si>
  <si>
    <t>Thiết kế trường kiểm thử cho Đọc sách đã mua, hội viên</t>
  </si>
  <si>
    <t>Thiết kế trường kiểm thử cho Gợi ý sách</t>
  </si>
  <si>
    <t>Thiết kế trường kiểm thử cho Chatbot AI</t>
  </si>
  <si>
    <t>Thiết kế trường kiểm thử cho Xem lịch sử đơn mua hàng</t>
  </si>
  <si>
    <t>Thiết kế trường kiểm thử cho Đánh giá sách</t>
  </si>
  <si>
    <t>Thiết kê front-end cho Đọc sách miễn phí</t>
  </si>
  <si>
    <t>Code back-end cho Đọc thử sách hội viên, trả phí</t>
  </si>
  <si>
    <t>Thiết kê front-end cho Đọc thử sách hội viên, trả phí</t>
  </si>
  <si>
    <t>Code back-end cho Đọc sách đã mua, hội viên</t>
  </si>
  <si>
    <t>Thiết kê front-end cho Đọc sách đã mua, hội viên</t>
  </si>
  <si>
    <t>Thiết kê front-end cho form Tìm kiếm sách</t>
  </si>
  <si>
    <t>Thiết kê front-end cho Lọc sách theo thể loại</t>
  </si>
  <si>
    <t>Code back-end cho Gợi ý sách</t>
  </si>
  <si>
    <t>Thiết kê front-end cho Gợi ý sách</t>
  </si>
  <si>
    <t>Code back-end cho Chatbot AI</t>
  </si>
  <si>
    <t>Thiết kê front-end cho Widget chat</t>
  </si>
  <si>
    <t>Thiết kê front-end cho trang Xác nhận đơn hàng</t>
  </si>
  <si>
    <t>Thiết kê front-end cho Thanh toán</t>
  </si>
  <si>
    <t>Code back-end cho Xem lịch sử đơn mua hàng</t>
  </si>
  <si>
    <t>Thiết kê front-end cho trang Danh sách, chi tiết đơn hàng</t>
  </si>
  <si>
    <t>Code back-end cho Đánh giá sách</t>
  </si>
  <si>
    <t>Thiết kê front-end cho Đánh giá sách</t>
  </si>
  <si>
    <t>Kiểm tra Đọc thử sách hội viên, trả phí</t>
  </si>
  <si>
    <t>Kiểm tra Đọc sách đã mua, hội viên</t>
  </si>
  <si>
    <t>Kiểm tra Gợi ý sách</t>
  </si>
  <si>
    <t>Kiểm tra Chatbot AI</t>
  </si>
  <si>
    <t>Kiểm tra Xem lịch sử đơn mua hàng</t>
  </si>
  <si>
    <t>Kiểm tra Đánh giá sách</t>
  </si>
  <si>
    <t xml:space="preserve">Sửa lỗi front-end Đăng ký </t>
  </si>
  <si>
    <t>Sửa lỗi front-end Đọc sách miễn phí</t>
  </si>
  <si>
    <t>Sửa lỗi back-end Đọc thử sách hội viên, trả phí</t>
  </si>
  <si>
    <t>Sửa lỗi front-end Đọc thử sách hội viên, trả phí</t>
  </si>
  <si>
    <t>Sửa lỗi back-end Đọc sách đã mua, hội viên</t>
  </si>
  <si>
    <t>Sửa lỗi front-end Đọc sách đã mua, hội viên</t>
  </si>
  <si>
    <t>Sửa lỗi front-end Lọc sách theo thể loại</t>
  </si>
  <si>
    <t>Sửa lỗi back-end Gợi ý sách</t>
  </si>
  <si>
    <t>Sửa lỗi front-end Gợi ý sách</t>
  </si>
  <si>
    <t>Sửa lỗi back-end Chatbot AI</t>
  </si>
  <si>
    <t>Sửa lỗi front-end Chatbot AI</t>
  </si>
  <si>
    <t>Sửa lỗi front-end Mua sách</t>
  </si>
  <si>
    <t>Sửa lỗi front-end Thanh toán</t>
  </si>
  <si>
    <t>Sửa lỗi back-end Xem lịch sử đơn mua hàng</t>
  </si>
  <si>
    <t>Sửa lỗi front-end Xem lịch sử đơn mua hàng</t>
  </si>
  <si>
    <t>Sửa lỗi back-end Đánh giá sách</t>
  </si>
  <si>
    <t>Sửa lỗi front-end Đánh giá sách</t>
  </si>
  <si>
    <t>Sprint Review 2</t>
  </si>
  <si>
    <t>Sprint Retrospective 2</t>
  </si>
  <si>
    <t>Cập nhật tài liệu Sprint Backlog 2</t>
  </si>
  <si>
    <t>Cập nhật tài liệu Meeting Report 2</t>
  </si>
  <si>
    <t>Tạo tài liệu TestReport 2</t>
  </si>
  <si>
    <t>Kiểm tra lại Đọc thử sách hội viên, trả phí</t>
  </si>
  <si>
    <t>Kiểm tra lại Đọc sách đã mua, hội viên</t>
  </si>
  <si>
    <t>Kiểm tra lại Gợi ý sách</t>
  </si>
  <si>
    <t>Kiểm tra lại Chatbot AI</t>
  </si>
  <si>
    <t>Kiểm tra lại Xem lịch sử đơn mua hàng</t>
  </si>
  <si>
    <t>Kiểm tra lại Đánh giá sách</t>
  </si>
  <si>
    <t>Sprint 2</t>
  </si>
  <si>
    <t>27/4/2026</t>
  </si>
  <si>
    <t>Khởi động Sprint 3</t>
  </si>
  <si>
    <t>Tạo tài liệu Sprint Backlog 3</t>
  </si>
  <si>
    <t>Tạo tài liệu TestCase Sprint 3</t>
  </si>
  <si>
    <t>28/4/2026</t>
  </si>
  <si>
    <t>Thiết kế trường kiểm thử cho Quản lý đánh giá</t>
  </si>
  <si>
    <t>Thiết kế trường kiểm thử cho Quản lý đơn hàng</t>
  </si>
  <si>
    <t>Thiết kế trường kiểm thử cho Thống kê và báo cáo</t>
  </si>
  <si>
    <t>Thiết kế trường kiểm thử cho Nâng cấp gói hội viên</t>
  </si>
  <si>
    <t>Thiết kế trường kiểm thử cho Quản lý gói hội viên</t>
  </si>
  <si>
    <t>Code back-end cho Quản lý đánh giá</t>
  </si>
  <si>
    <t>Thiết kê front-end cho trang Quản lý đánh giá</t>
  </si>
  <si>
    <t>Code back-end cho Quản lý đơn hàng</t>
  </si>
  <si>
    <t>Thiết kê front-end cho trang Quản lý đơn hàng</t>
  </si>
  <si>
    <t>Code back-end cho Thống kê và báo cáo</t>
  </si>
  <si>
    <t>Thiết kê front-end cho trang Thống kê và báo cáo</t>
  </si>
  <si>
    <t>Code back-end cho Nâng cấp gói hội viên</t>
  </si>
  <si>
    <t>Thiết kê front-end cho trang Chọn gói, Xác nhận nâng cấp</t>
  </si>
  <si>
    <t>Code back-end cho Quản lý gói hội viên</t>
  </si>
  <si>
    <t>Thiết kê front-end cho trang Quản lý gói hội viên</t>
  </si>
  <si>
    <t>Kiểm tra Quản lý đánh giá</t>
  </si>
  <si>
    <t>Kiểm tra Quản lý đơn hàng</t>
  </si>
  <si>
    <t>Kiểm tra Thống kê và báo cáo</t>
  </si>
  <si>
    <t>Kiểm tra Nâng cấp gói hội viên</t>
  </si>
  <si>
    <t>Kiểm tra Quản lý gói hội viên</t>
  </si>
  <si>
    <t>Sửa lỗi back-end Quản lý đánh giá</t>
  </si>
  <si>
    <t>Sửa lỗi front-end Quản lý đánh giá</t>
  </si>
  <si>
    <t>Sửa lỗi back-end Quản lý đơn hàng</t>
  </si>
  <si>
    <t>Sửa lỗi front-end Quản lý đơn hàng</t>
  </si>
  <si>
    <t>Sửa lỗi back-end Thống kê và báo cáo</t>
  </si>
  <si>
    <t>Sửa lỗi front-end Thống kê và báo cáo</t>
  </si>
  <si>
    <t>Sửa lỗi back-end Nâng cấp gói hội viên</t>
  </si>
  <si>
    <t>Sửa lỗi front-end Nâng cấp gói hội viên</t>
  </si>
  <si>
    <t>Sửa lỗi back-end Quản lý gói hội viên</t>
  </si>
  <si>
    <t>Sửa lỗi front-end Quản lý gói hội viên</t>
  </si>
  <si>
    <t>Kiểm tra lại Quản lý đánh giá</t>
  </si>
  <si>
    <t>Kiểm tra lại Quản lý đơn hàng</t>
  </si>
  <si>
    <t>Kiểm tra lại Thống kê và báo cáo</t>
  </si>
  <si>
    <t>Kiểm tra lại Nâng cấp gói hội viên</t>
  </si>
  <si>
    <t>Kiểm tra lại Quản lý gói hội viên</t>
  </si>
  <si>
    <t>Sprint Review 3</t>
  </si>
  <si>
    <t>Sprint Retrospective 3</t>
  </si>
  <si>
    <t>Cập nhật tài liệu Sprint Backlog 3</t>
  </si>
  <si>
    <t>Cập nhật tài liệu Meeting Report 3</t>
  </si>
  <si>
    <t>Tạo tài liệu TestReport 3</t>
  </si>
  <si>
    <t>Kết thúc Sprint 3</t>
  </si>
  <si>
    <t>Kết thúc Sprint 2</t>
  </si>
  <si>
    <t>Thiết kế trường kiểm thử cho Lưu tiến độ đọc sách</t>
  </si>
  <si>
    <t>Code back-end cho Lưu tiến độ đọc sách</t>
  </si>
  <si>
    <t>Code front-end cho Lưu tiến độ đọc sách</t>
  </si>
  <si>
    <t>Kiểm tra Lưu tiến độ đọc sách</t>
  </si>
  <si>
    <t>Sửa lỗi back-end Lưu tiến độ đọc sách</t>
  </si>
  <si>
    <t>Sửa lỗi front-end Lưu tiến độ đọc sách</t>
  </si>
  <si>
    <t>Kiểm tra lại Lưu tiến độ đọc sách</t>
  </si>
  <si>
    <t>13/5/2026</t>
  </si>
  <si>
    <t>Sprint 3</t>
  </si>
  <si>
    <t>Thiết kế trường kiểm thử cho Quản lý chương trình giảm giá</t>
  </si>
  <si>
    <t>Code back-end cho Quản lý chương trình giảm giá</t>
  </si>
  <si>
    <t>Thiết kê front-end cho trang Quản lý chương trình giảm giá</t>
  </si>
  <si>
    <t>Kiểm tra Quản lý chương trình giảm giá</t>
  </si>
  <si>
    <t>Sửa lỗi back-end Quản lý chương trình giảm giá</t>
  </si>
  <si>
    <t>Sửa lỗi front-end Quản lý chương trình giảm giá</t>
  </si>
  <si>
    <t>Kiểm tra lại Quản lý chương trình giảm giá</t>
  </si>
  <si>
    <t>Kết thúc đúng hạn</t>
  </si>
  <si>
    <t>Xây dựng hệ thống cung cấp sách số trực tuyến BookNest tích hợp chatbot AI</t>
  </si>
  <si>
    <t>Thiết kê front-end cho Quên mật khẩu, form đặt lại mật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</si>
</sst>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7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b/>
      <sz val="20"/>
      <color theme="1"/>
      <name val="Times New Roman"/>
      <family val="1"/>
    </font>
    <font>
      <sz val="8"/>
      <name val="Calibri"/>
      <family val="2"/>
      <charset val="163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7" borderId="0" xfId="0" applyFont="1" applyFill="1"/>
    <xf numFmtId="0" fontId="3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left"/>
    </xf>
    <xf numFmtId="0" fontId="1" fillId="7" borderId="1" xfId="0" applyFont="1" applyFill="1" applyBorder="1"/>
    <xf numFmtId="0" fontId="2" fillId="5" borderId="1" xfId="0" applyFont="1" applyFill="1" applyBorder="1" applyAlignment="1">
      <alignment horizontal="center"/>
    </xf>
    <xf numFmtId="0" fontId="4" fillId="0" borderId="1" xfId="0" applyFont="1" applyBorder="1"/>
    <xf numFmtId="0" fontId="2" fillId="8" borderId="1" xfId="0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4" xfId="0" applyFont="1" applyFill="1" applyBorder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8" borderId="1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6" borderId="7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Burndown Chart - Sprint Backlog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Ước tính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Sprint1!$I$121:$AD$121</c:f>
              <c:numCache>
                <c:formatCode>dd/mm</c:formatCode>
                <c:ptCount val="22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  <c:pt idx="15">
                  <c:v>46115</c:v>
                </c:pt>
                <c:pt idx="16">
                  <c:v>46116</c:v>
                </c:pt>
                <c:pt idx="17">
                  <c:v>46117</c:v>
                </c:pt>
                <c:pt idx="18">
                  <c:v>46118</c:v>
                </c:pt>
                <c:pt idx="19">
                  <c:v>46119</c:v>
                </c:pt>
                <c:pt idx="20">
                  <c:v>46120</c:v>
                </c:pt>
                <c:pt idx="21">
                  <c:v>46121</c:v>
                </c:pt>
              </c:numCache>
            </c:numRef>
          </c:cat>
          <c:val>
            <c:numRef>
              <c:f>Sprint1!$I$247:$AD$247</c:f>
              <c:numCache>
                <c:formatCode>General</c:formatCode>
                <c:ptCount val="22"/>
                <c:pt idx="0">
                  <c:v>392</c:v>
                </c:pt>
                <c:pt idx="1">
                  <c:v>372</c:v>
                </c:pt>
                <c:pt idx="2">
                  <c:v>352</c:v>
                </c:pt>
                <c:pt idx="3">
                  <c:v>340</c:v>
                </c:pt>
                <c:pt idx="4">
                  <c:v>310</c:v>
                </c:pt>
                <c:pt idx="5">
                  <c:v>306</c:v>
                </c:pt>
                <c:pt idx="6">
                  <c:v>292</c:v>
                </c:pt>
                <c:pt idx="7">
                  <c:v>281</c:v>
                </c:pt>
                <c:pt idx="8">
                  <c:v>251</c:v>
                </c:pt>
                <c:pt idx="9">
                  <c:v>238</c:v>
                </c:pt>
                <c:pt idx="10">
                  <c:v>216</c:v>
                </c:pt>
                <c:pt idx="11">
                  <c:v>190</c:v>
                </c:pt>
                <c:pt idx="12">
                  <c:v>172</c:v>
                </c:pt>
                <c:pt idx="13">
                  <c:v>157</c:v>
                </c:pt>
                <c:pt idx="14">
                  <c:v>134</c:v>
                </c:pt>
                <c:pt idx="15">
                  <c:v>113</c:v>
                </c:pt>
                <c:pt idx="16">
                  <c:v>95</c:v>
                </c:pt>
                <c:pt idx="17">
                  <c:v>68</c:v>
                </c:pt>
                <c:pt idx="18">
                  <c:v>45</c:v>
                </c:pt>
                <c:pt idx="19">
                  <c:v>30</c:v>
                </c:pt>
                <c:pt idx="20">
                  <c:v>12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74-449E-ADFC-AEFE06BE07F3}"/>
            </c:ext>
          </c:extLst>
        </c:ser>
        <c:ser>
          <c:idx val="1"/>
          <c:order val="1"/>
          <c:tx>
            <c:v>Thực tế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Sprint1!$I$121:$AD$121</c:f>
              <c:numCache>
                <c:formatCode>dd/mm</c:formatCode>
                <c:ptCount val="22"/>
                <c:pt idx="0">
                  <c:v>46100</c:v>
                </c:pt>
                <c:pt idx="1">
                  <c:v>46101</c:v>
                </c:pt>
                <c:pt idx="2">
                  <c:v>46102</c:v>
                </c:pt>
                <c:pt idx="3">
                  <c:v>46103</c:v>
                </c:pt>
                <c:pt idx="4">
                  <c:v>46104</c:v>
                </c:pt>
                <c:pt idx="5">
                  <c:v>46105</c:v>
                </c:pt>
                <c:pt idx="6">
                  <c:v>46106</c:v>
                </c:pt>
                <c:pt idx="7">
                  <c:v>46107</c:v>
                </c:pt>
                <c:pt idx="8">
                  <c:v>46108</c:v>
                </c:pt>
                <c:pt idx="9">
                  <c:v>46109</c:v>
                </c:pt>
                <c:pt idx="10">
                  <c:v>46110</c:v>
                </c:pt>
                <c:pt idx="11">
                  <c:v>46111</c:v>
                </c:pt>
                <c:pt idx="12">
                  <c:v>46112</c:v>
                </c:pt>
                <c:pt idx="13">
                  <c:v>46113</c:v>
                </c:pt>
                <c:pt idx="14">
                  <c:v>46114</c:v>
                </c:pt>
                <c:pt idx="15">
                  <c:v>46115</c:v>
                </c:pt>
                <c:pt idx="16">
                  <c:v>46116</c:v>
                </c:pt>
                <c:pt idx="17">
                  <c:v>46117</c:v>
                </c:pt>
                <c:pt idx="18">
                  <c:v>46118</c:v>
                </c:pt>
                <c:pt idx="19">
                  <c:v>46119</c:v>
                </c:pt>
                <c:pt idx="20">
                  <c:v>46120</c:v>
                </c:pt>
                <c:pt idx="21">
                  <c:v>46121</c:v>
                </c:pt>
              </c:numCache>
            </c:numRef>
          </c:cat>
          <c:val>
            <c:numRef>
              <c:f>Sprint1!$I$246:$AD$246</c:f>
              <c:numCache>
                <c:formatCode>General</c:formatCode>
                <c:ptCount val="22"/>
                <c:pt idx="0">
                  <c:v>389</c:v>
                </c:pt>
                <c:pt idx="1">
                  <c:v>378</c:v>
                </c:pt>
                <c:pt idx="2">
                  <c:v>359</c:v>
                </c:pt>
                <c:pt idx="3">
                  <c:v>351</c:v>
                </c:pt>
                <c:pt idx="4">
                  <c:v>324</c:v>
                </c:pt>
                <c:pt idx="5">
                  <c:v>318</c:v>
                </c:pt>
                <c:pt idx="6">
                  <c:v>300</c:v>
                </c:pt>
                <c:pt idx="7">
                  <c:v>293</c:v>
                </c:pt>
                <c:pt idx="8">
                  <c:v>261</c:v>
                </c:pt>
                <c:pt idx="9">
                  <c:v>248</c:v>
                </c:pt>
                <c:pt idx="10">
                  <c:v>232</c:v>
                </c:pt>
                <c:pt idx="11">
                  <c:v>211</c:v>
                </c:pt>
                <c:pt idx="12">
                  <c:v>186</c:v>
                </c:pt>
                <c:pt idx="13">
                  <c:v>162</c:v>
                </c:pt>
                <c:pt idx="14">
                  <c:v>134</c:v>
                </c:pt>
                <c:pt idx="15">
                  <c:v>110</c:v>
                </c:pt>
                <c:pt idx="16">
                  <c:v>89</c:v>
                </c:pt>
                <c:pt idx="17">
                  <c:v>68</c:v>
                </c:pt>
                <c:pt idx="18">
                  <c:v>40</c:v>
                </c:pt>
                <c:pt idx="19">
                  <c:v>23</c:v>
                </c:pt>
                <c:pt idx="20">
                  <c:v>12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74-449E-ADFC-AEFE06BE0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797311"/>
        <c:axId val="105797791"/>
      </c:lineChart>
      <c:dateAx>
        <c:axId val="105797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Ngày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797791"/>
        <c:crosses val="autoZero"/>
        <c:auto val="1"/>
        <c:lblOffset val="100"/>
        <c:baseTimeUnit val="days"/>
      </c:dateAx>
      <c:valAx>
        <c:axId val="10579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Giờ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579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Burndown Chart - Sprint Backlog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Ứớc tính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Sprint2!$I$107:$Z$107</c:f>
              <c:numCache>
                <c:formatCode>dd/mm</c:formatCode>
                <c:ptCount val="18"/>
                <c:pt idx="0">
                  <c:v>46122</c:v>
                </c:pt>
                <c:pt idx="1">
                  <c:v>46123</c:v>
                </c:pt>
                <c:pt idx="2">
                  <c:v>46124</c:v>
                </c:pt>
                <c:pt idx="3">
                  <c:v>46125</c:v>
                </c:pt>
                <c:pt idx="4">
                  <c:v>46126</c:v>
                </c:pt>
                <c:pt idx="5">
                  <c:v>46127</c:v>
                </c:pt>
                <c:pt idx="6">
                  <c:v>46128</c:v>
                </c:pt>
                <c:pt idx="7">
                  <c:v>46129</c:v>
                </c:pt>
                <c:pt idx="8">
                  <c:v>46130</c:v>
                </c:pt>
                <c:pt idx="9">
                  <c:v>46131</c:v>
                </c:pt>
                <c:pt idx="10">
                  <c:v>46132</c:v>
                </c:pt>
                <c:pt idx="11">
                  <c:v>46133</c:v>
                </c:pt>
                <c:pt idx="12">
                  <c:v>46134</c:v>
                </c:pt>
                <c:pt idx="13">
                  <c:v>46135</c:v>
                </c:pt>
                <c:pt idx="14">
                  <c:v>46136</c:v>
                </c:pt>
                <c:pt idx="15">
                  <c:v>46137</c:v>
                </c:pt>
                <c:pt idx="16">
                  <c:v>46138</c:v>
                </c:pt>
                <c:pt idx="17">
                  <c:v>46139</c:v>
                </c:pt>
              </c:numCache>
            </c:numRef>
          </c:cat>
          <c:val>
            <c:numRef>
              <c:f>Sprint2!$I$207:$Z$207</c:f>
              <c:numCache>
                <c:formatCode>General</c:formatCode>
                <c:ptCount val="18"/>
                <c:pt idx="0">
                  <c:v>348</c:v>
                </c:pt>
                <c:pt idx="1">
                  <c:v>336</c:v>
                </c:pt>
                <c:pt idx="2">
                  <c:v>317</c:v>
                </c:pt>
                <c:pt idx="3">
                  <c:v>288</c:v>
                </c:pt>
                <c:pt idx="4">
                  <c:v>266</c:v>
                </c:pt>
                <c:pt idx="5">
                  <c:v>234</c:v>
                </c:pt>
                <c:pt idx="6">
                  <c:v>211</c:v>
                </c:pt>
                <c:pt idx="7">
                  <c:v>185</c:v>
                </c:pt>
                <c:pt idx="8">
                  <c:v>158</c:v>
                </c:pt>
                <c:pt idx="9">
                  <c:v>144</c:v>
                </c:pt>
                <c:pt idx="10">
                  <c:v>123</c:v>
                </c:pt>
                <c:pt idx="11">
                  <c:v>115</c:v>
                </c:pt>
                <c:pt idx="12">
                  <c:v>86</c:v>
                </c:pt>
                <c:pt idx="13">
                  <c:v>70</c:v>
                </c:pt>
                <c:pt idx="14">
                  <c:v>51</c:v>
                </c:pt>
                <c:pt idx="15">
                  <c:v>26</c:v>
                </c:pt>
                <c:pt idx="16">
                  <c:v>12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82-4008-B474-4D39796D4F57}"/>
            </c:ext>
          </c:extLst>
        </c:ser>
        <c:ser>
          <c:idx val="1"/>
          <c:order val="1"/>
          <c:tx>
            <c:v>Thực tế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Sprint2!$I$107:$Z$107</c:f>
              <c:numCache>
                <c:formatCode>dd/mm</c:formatCode>
                <c:ptCount val="18"/>
                <c:pt idx="0">
                  <c:v>46122</c:v>
                </c:pt>
                <c:pt idx="1">
                  <c:v>46123</c:v>
                </c:pt>
                <c:pt idx="2">
                  <c:v>46124</c:v>
                </c:pt>
                <c:pt idx="3">
                  <c:v>46125</c:v>
                </c:pt>
                <c:pt idx="4">
                  <c:v>46126</c:v>
                </c:pt>
                <c:pt idx="5">
                  <c:v>46127</c:v>
                </c:pt>
                <c:pt idx="6">
                  <c:v>46128</c:v>
                </c:pt>
                <c:pt idx="7">
                  <c:v>46129</c:v>
                </c:pt>
                <c:pt idx="8">
                  <c:v>46130</c:v>
                </c:pt>
                <c:pt idx="9">
                  <c:v>46131</c:v>
                </c:pt>
                <c:pt idx="10">
                  <c:v>46132</c:v>
                </c:pt>
                <c:pt idx="11">
                  <c:v>46133</c:v>
                </c:pt>
                <c:pt idx="12">
                  <c:v>46134</c:v>
                </c:pt>
                <c:pt idx="13">
                  <c:v>46135</c:v>
                </c:pt>
                <c:pt idx="14">
                  <c:v>46136</c:v>
                </c:pt>
                <c:pt idx="15">
                  <c:v>46137</c:v>
                </c:pt>
                <c:pt idx="16">
                  <c:v>46138</c:v>
                </c:pt>
                <c:pt idx="17">
                  <c:v>46139</c:v>
                </c:pt>
              </c:numCache>
            </c:numRef>
          </c:cat>
          <c:val>
            <c:numRef>
              <c:f>Sprint2!$I$206:$Z$206</c:f>
              <c:numCache>
                <c:formatCode>General</c:formatCode>
                <c:ptCount val="18"/>
                <c:pt idx="0">
                  <c:v>339</c:v>
                </c:pt>
                <c:pt idx="1">
                  <c:v>331</c:v>
                </c:pt>
                <c:pt idx="2">
                  <c:v>320</c:v>
                </c:pt>
                <c:pt idx="3">
                  <c:v>304</c:v>
                </c:pt>
                <c:pt idx="4">
                  <c:v>269</c:v>
                </c:pt>
                <c:pt idx="5">
                  <c:v>237</c:v>
                </c:pt>
                <c:pt idx="6">
                  <c:v>217</c:v>
                </c:pt>
                <c:pt idx="7">
                  <c:v>194</c:v>
                </c:pt>
                <c:pt idx="8">
                  <c:v>164</c:v>
                </c:pt>
                <c:pt idx="9">
                  <c:v>150</c:v>
                </c:pt>
                <c:pt idx="10">
                  <c:v>132</c:v>
                </c:pt>
                <c:pt idx="11">
                  <c:v>113</c:v>
                </c:pt>
                <c:pt idx="12">
                  <c:v>88</c:v>
                </c:pt>
                <c:pt idx="13">
                  <c:v>72</c:v>
                </c:pt>
                <c:pt idx="14">
                  <c:v>51</c:v>
                </c:pt>
                <c:pt idx="15">
                  <c:v>26</c:v>
                </c:pt>
                <c:pt idx="16">
                  <c:v>12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82-4008-B474-4D39796D4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0017584"/>
        <c:axId val="960019024"/>
      </c:lineChart>
      <c:dateAx>
        <c:axId val="96001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Ngày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19024"/>
        <c:crosses val="autoZero"/>
        <c:auto val="1"/>
        <c:lblOffset val="100"/>
        <c:baseTimeUnit val="days"/>
      </c:dateAx>
      <c:valAx>
        <c:axId val="96001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Giờ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01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Burndown Chart - Sprint Backlog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ước tính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Sprint3!$I$72:$X$72</c:f>
              <c:numCache>
                <c:formatCode>dd/mm</c:formatCode>
                <c:ptCount val="16"/>
                <c:pt idx="0">
                  <c:v>46140</c:v>
                </c:pt>
                <c:pt idx="1">
                  <c:v>46141</c:v>
                </c:pt>
                <c:pt idx="2">
                  <c:v>46142</c:v>
                </c:pt>
                <c:pt idx="3">
                  <c:v>46143</c:v>
                </c:pt>
                <c:pt idx="4">
                  <c:v>46144</c:v>
                </c:pt>
                <c:pt idx="5">
                  <c:v>46145</c:v>
                </c:pt>
                <c:pt idx="6">
                  <c:v>46146</c:v>
                </c:pt>
                <c:pt idx="7">
                  <c:v>46147</c:v>
                </c:pt>
                <c:pt idx="8">
                  <c:v>46148</c:v>
                </c:pt>
                <c:pt idx="9">
                  <c:v>46149</c:v>
                </c:pt>
                <c:pt idx="10">
                  <c:v>46150</c:v>
                </c:pt>
                <c:pt idx="11">
                  <c:v>46151</c:v>
                </c:pt>
                <c:pt idx="12">
                  <c:v>46152</c:v>
                </c:pt>
                <c:pt idx="13">
                  <c:v>46153</c:v>
                </c:pt>
                <c:pt idx="14">
                  <c:v>46154</c:v>
                </c:pt>
                <c:pt idx="15">
                  <c:v>46155</c:v>
                </c:pt>
              </c:numCache>
            </c:numRef>
          </c:cat>
          <c:val>
            <c:numRef>
              <c:f>Sprint3!$I$134:$X$134</c:f>
              <c:numCache>
                <c:formatCode>General</c:formatCode>
                <c:ptCount val="16"/>
                <c:pt idx="0">
                  <c:v>253</c:v>
                </c:pt>
                <c:pt idx="1">
                  <c:v>240</c:v>
                </c:pt>
                <c:pt idx="2">
                  <c:v>231</c:v>
                </c:pt>
                <c:pt idx="3">
                  <c:v>217</c:v>
                </c:pt>
                <c:pt idx="4">
                  <c:v>190</c:v>
                </c:pt>
                <c:pt idx="5">
                  <c:v>189</c:v>
                </c:pt>
                <c:pt idx="6">
                  <c:v>171</c:v>
                </c:pt>
                <c:pt idx="7">
                  <c:v>142</c:v>
                </c:pt>
                <c:pt idx="8">
                  <c:v>120</c:v>
                </c:pt>
                <c:pt idx="9">
                  <c:v>101</c:v>
                </c:pt>
                <c:pt idx="10">
                  <c:v>82</c:v>
                </c:pt>
                <c:pt idx="11">
                  <c:v>58</c:v>
                </c:pt>
                <c:pt idx="12">
                  <c:v>34</c:v>
                </c:pt>
                <c:pt idx="13">
                  <c:v>21</c:v>
                </c:pt>
                <c:pt idx="14">
                  <c:v>12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B4-4C7C-962D-895E775ABB21}"/>
            </c:ext>
          </c:extLst>
        </c:ser>
        <c:ser>
          <c:idx val="1"/>
          <c:order val="1"/>
          <c:tx>
            <c:v>Thực tế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Sprint3!$I$72:$X$72</c:f>
              <c:numCache>
                <c:formatCode>dd/mm</c:formatCode>
                <c:ptCount val="16"/>
                <c:pt idx="0">
                  <c:v>46140</c:v>
                </c:pt>
                <c:pt idx="1">
                  <c:v>46141</c:v>
                </c:pt>
                <c:pt idx="2">
                  <c:v>46142</c:v>
                </c:pt>
                <c:pt idx="3">
                  <c:v>46143</c:v>
                </c:pt>
                <c:pt idx="4">
                  <c:v>46144</c:v>
                </c:pt>
                <c:pt idx="5">
                  <c:v>46145</c:v>
                </c:pt>
                <c:pt idx="6">
                  <c:v>46146</c:v>
                </c:pt>
                <c:pt idx="7">
                  <c:v>46147</c:v>
                </c:pt>
                <c:pt idx="8">
                  <c:v>46148</c:v>
                </c:pt>
                <c:pt idx="9">
                  <c:v>46149</c:v>
                </c:pt>
                <c:pt idx="10">
                  <c:v>46150</c:v>
                </c:pt>
                <c:pt idx="11">
                  <c:v>46151</c:v>
                </c:pt>
                <c:pt idx="12">
                  <c:v>46152</c:v>
                </c:pt>
                <c:pt idx="13">
                  <c:v>46153</c:v>
                </c:pt>
                <c:pt idx="14">
                  <c:v>46154</c:v>
                </c:pt>
                <c:pt idx="15">
                  <c:v>46155</c:v>
                </c:pt>
              </c:numCache>
            </c:numRef>
          </c:cat>
          <c:val>
            <c:numRef>
              <c:f>Sprint3!$I$133:$X$133</c:f>
              <c:numCache>
                <c:formatCode>General</c:formatCode>
                <c:ptCount val="16"/>
                <c:pt idx="0">
                  <c:v>249</c:v>
                </c:pt>
                <c:pt idx="1">
                  <c:v>245</c:v>
                </c:pt>
                <c:pt idx="2">
                  <c:v>232</c:v>
                </c:pt>
                <c:pt idx="3">
                  <c:v>216</c:v>
                </c:pt>
                <c:pt idx="4">
                  <c:v>200</c:v>
                </c:pt>
                <c:pt idx="5">
                  <c:v>190</c:v>
                </c:pt>
                <c:pt idx="6">
                  <c:v>171</c:v>
                </c:pt>
                <c:pt idx="7">
                  <c:v>148</c:v>
                </c:pt>
                <c:pt idx="8">
                  <c:v>130</c:v>
                </c:pt>
                <c:pt idx="9">
                  <c:v>107</c:v>
                </c:pt>
                <c:pt idx="10">
                  <c:v>87</c:v>
                </c:pt>
                <c:pt idx="11">
                  <c:v>61</c:v>
                </c:pt>
                <c:pt idx="12">
                  <c:v>34</c:v>
                </c:pt>
                <c:pt idx="13">
                  <c:v>21</c:v>
                </c:pt>
                <c:pt idx="14">
                  <c:v>12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B4-4C7C-962D-895E775AB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70272"/>
        <c:axId val="27670752"/>
      </c:lineChart>
      <c:dateAx>
        <c:axId val="2767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Ngày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70752"/>
        <c:crosses val="autoZero"/>
        <c:auto val="1"/>
        <c:lblOffset val="100"/>
        <c:baseTimeUnit val="days"/>
      </c:dateAx>
      <c:valAx>
        <c:axId val="2767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3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Giờ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567765</xdr:colOff>
      <xdr:row>249</xdr:row>
      <xdr:rowOff>29400</xdr:rowOff>
    </xdr:from>
    <xdr:to>
      <xdr:col>21</xdr:col>
      <xdr:colOff>366059</xdr:colOff>
      <xdr:row>269</xdr:row>
      <xdr:rowOff>179293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402FA-7D95-AA8D-D6BE-E3EEAA578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580570</xdr:colOff>
      <xdr:row>209</xdr:row>
      <xdr:rowOff>29936</xdr:rowOff>
    </xdr:from>
    <xdr:to>
      <xdr:col>22</xdr:col>
      <xdr:colOff>9070</xdr:colOff>
      <xdr:row>229</xdr:row>
      <xdr:rowOff>163287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E60CA-DBFF-4D7A-874E-EA8BC430B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553356</xdr:colOff>
      <xdr:row>135</xdr:row>
      <xdr:rowOff>202293</xdr:rowOff>
    </xdr:from>
    <xdr:to>
      <xdr:col>21</xdr:col>
      <xdr:colOff>380999</xdr:colOff>
      <xdr:row>156</xdr:row>
      <xdr:rowOff>199573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45DDD9-B345-3C37-FB98-9490F35DF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09AC20-3ED3-4F0D-9DAB-C483AA1200B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477cc32-05c0-436c-96c6-e02d7bba8bf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C6F9-9401-4E10-B7C1-B2080F2411E7}">
  <dimension ref="A1:AD247"/>
  <sheetViews>
    <sheetView topLeftCell="A255" zoomScale="70" zoomScaleNormal="70" workbookViewId="0">
      <selection activeCell="F6" sqref="F6"/>
    </sheetView>
  </sheetViews>
  <sheetFormatPr defaultRowHeight="16.5" x14ac:dyDescent="0.35"/>
  <cols>
    <col min="1" max="1" width="15.54296875" style="1" customWidth="1"/>
    <col min="2" max="2" width="19.7265625" style="1" customWidth="1"/>
    <col min="3" max="3" width="50.7265625" style="1" customWidth="1"/>
    <col min="4" max="5" width="10.7265625" style="1" customWidth="1"/>
    <col min="6" max="6" width="17.90625" style="1" customWidth="1"/>
    <col min="7" max="44" width="5.6328125" style="1" customWidth="1"/>
    <col min="45" max="45" width="8.7265625" style="1"/>
    <col min="46" max="46" width="8.7265625" style="1" customWidth="1"/>
    <col min="47" max="16384" width="8.7265625" style="1"/>
  </cols>
  <sheetData>
    <row r="1" spans="1:30" ht="33" x14ac:dyDescent="0.35">
      <c r="A1" s="33" t="s">
        <v>3</v>
      </c>
      <c r="B1" s="33"/>
      <c r="C1" s="16" t="s">
        <v>281</v>
      </c>
      <c r="E1" s="5"/>
      <c r="F1" s="13" t="s">
        <v>280</v>
      </c>
    </row>
    <row r="2" spans="1:30" ht="16" customHeight="1" x14ac:dyDescent="0.35">
      <c r="A2" s="34" t="s">
        <v>2</v>
      </c>
      <c r="B2" s="34"/>
      <c r="C2" s="4" t="s">
        <v>4</v>
      </c>
      <c r="E2" s="7"/>
      <c r="F2" s="14" t="s">
        <v>21</v>
      </c>
    </row>
    <row r="3" spans="1:30" ht="16" customHeight="1" x14ac:dyDescent="0.35">
      <c r="A3" s="34" t="s">
        <v>1</v>
      </c>
      <c r="B3" s="34"/>
      <c r="C3" s="17" t="s">
        <v>155</v>
      </c>
      <c r="E3" s="6"/>
      <c r="F3" s="15" t="s">
        <v>20</v>
      </c>
    </row>
    <row r="4" spans="1:30" ht="16" customHeight="1" x14ac:dyDescent="0.35">
      <c r="A4" s="34" t="s">
        <v>0</v>
      </c>
      <c r="B4" s="34"/>
      <c r="C4" s="17">
        <v>46269</v>
      </c>
      <c r="E4" s="9"/>
      <c r="F4" s="10"/>
    </row>
    <row r="5" spans="1:30" ht="16" customHeight="1" x14ac:dyDescent="0.35">
      <c r="E5" s="9"/>
      <c r="F5" s="10"/>
    </row>
    <row r="6" spans="1:30" ht="16" customHeight="1" x14ac:dyDescent="0.35">
      <c r="E6" s="9"/>
      <c r="F6" s="10"/>
    </row>
    <row r="7" spans="1:30" ht="14.5" customHeight="1" x14ac:dyDescent="0.35">
      <c r="E7" s="9"/>
      <c r="F7" s="10"/>
    </row>
    <row r="8" spans="1:30" ht="16.5" customHeight="1" x14ac:dyDescent="0.35">
      <c r="B8" s="35" t="s">
        <v>5</v>
      </c>
      <c r="C8" s="35"/>
      <c r="D8" s="35"/>
      <c r="E8" s="35"/>
      <c r="F8" s="11"/>
    </row>
    <row r="9" spans="1:30" ht="16.5" customHeight="1" x14ac:dyDescent="0.35">
      <c r="B9" s="19" t="s">
        <v>6</v>
      </c>
      <c r="C9" s="19" t="s">
        <v>19</v>
      </c>
      <c r="D9" s="19" t="s">
        <v>11</v>
      </c>
      <c r="E9" s="19" t="s">
        <v>18</v>
      </c>
      <c r="F9" s="11"/>
    </row>
    <row r="10" spans="1:30" ht="16.5" customHeight="1" x14ac:dyDescent="0.35">
      <c r="B10" s="8">
        <v>1</v>
      </c>
      <c r="C10" s="4" t="s">
        <v>22</v>
      </c>
      <c r="D10" s="23">
        <f ca="1">ROUND(SUMIF($E$122:$F$245,"H.Thắng",$G$122:$G$245)+SUMIF($E$122:$F$245,"All team",$G$122:$G$245)/5,1)</f>
        <v>162</v>
      </c>
      <c r="E10" s="23">
        <f ca="1">ROUND(SUMIF($E$18:$F$116,"H.Thắng",$H$18:$H$116)+SUMIF($E$18:$F$116,"All team",$H$18:$H$116)/5,1)</f>
        <v>162</v>
      </c>
      <c r="F10" s="11"/>
    </row>
    <row r="11" spans="1:30" ht="16.5" customHeight="1" x14ac:dyDescent="0.35">
      <c r="B11" s="8">
        <v>2</v>
      </c>
      <c r="C11" s="20" t="s">
        <v>151</v>
      </c>
      <c r="D11" s="23">
        <f ca="1">ROUND(SUMIF($E$122:$F$245,"Q.Thắng",$G$122:$G$245)+SUMIF($E$122:$F$245,"All team",$G$122:$G$245)/5,1)</f>
        <v>69</v>
      </c>
      <c r="E11" s="23">
        <f ca="1">ROUND(SUMIF($E$18:$F$116,"Q.Thắng",$H$18:$H$116)+SUMIF($E$18:$F$116,"All team",$H$18:$H$116)/5,1)</f>
        <v>63</v>
      </c>
      <c r="F11" s="12"/>
    </row>
    <row r="12" spans="1:30" x14ac:dyDescent="0.35">
      <c r="B12" s="8">
        <v>3</v>
      </c>
      <c r="C12" s="20" t="s">
        <v>152</v>
      </c>
      <c r="D12" s="23">
        <f ca="1">ROUND(SUMIF($E$122:$F$245,"Nhung",$G$122:$G$245)+SUMIF($E$122:$F$245,"All team",$G$122:$G$245)/5,1)</f>
        <v>55</v>
      </c>
      <c r="E12" s="23">
        <f ca="1">ROUND(SUMIF($E$18:$F$116,"Nhung",$H$18:$H$116)+SUMIF($E$18:$F$116,"All team",$H$18:$H$116)/5,1)</f>
        <v>60</v>
      </c>
    </row>
    <row r="13" spans="1:30" x14ac:dyDescent="0.35">
      <c r="B13" s="22">
        <v>4</v>
      </c>
      <c r="C13" s="20" t="s">
        <v>153</v>
      </c>
      <c r="D13" s="23">
        <f ca="1">ROUND(SUMIF($E$122:$F$245,"Nam",$G$122:$G$245)+SUMIF($E$122:$F$245,"All team",$G$122:$G$245)/5,1)</f>
        <v>46</v>
      </c>
      <c r="E13" s="23">
        <f ca="1">ROUND(SUMIF($E$18:$F$116,"Nam",$H$18:$H$116)+SUMIF($E$18:$F$116,"All team",$H$18:$H$116)/5,1)</f>
        <v>50</v>
      </c>
    </row>
    <row r="14" spans="1:30" x14ac:dyDescent="0.35">
      <c r="B14" s="8">
        <v>5</v>
      </c>
      <c r="C14" s="20" t="s">
        <v>154</v>
      </c>
      <c r="D14" s="23">
        <f ca="1">ROUND(SUMIF($E$122:$F$245,"Thúy",$G$122:$G$245)+SUMIF($E$122:$F$245,"All team",$G$122:$G$245)/5,1)</f>
        <v>69</v>
      </c>
      <c r="E14" s="23">
        <f ca="1">ROUND(SUMIF($E$18:$F$116,"Thúy",$H$18:$H$116)+SUMIF($E$18:$F$116,"All team",$H$18:$H$116)/5,1)</f>
        <v>69</v>
      </c>
    </row>
    <row r="15" spans="1:30" x14ac:dyDescent="0.35">
      <c r="B15" s="36" t="s">
        <v>23</v>
      </c>
      <c r="C15" s="36"/>
      <c r="D15" s="25">
        <f ca="1">SUM(D10:D14)</f>
        <v>401</v>
      </c>
      <c r="E15" s="24">
        <f ca="1">SUM(E10:E14)</f>
        <v>404</v>
      </c>
      <c r="F15" s="26"/>
    </row>
    <row r="16" spans="1:30" ht="29.5" customHeight="1" x14ac:dyDescent="0.5">
      <c r="A16" s="44" t="s">
        <v>88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 spans="1:30" ht="55" customHeight="1" x14ac:dyDescent="0.35">
      <c r="A17" s="21" t="s">
        <v>7</v>
      </c>
      <c r="B17" s="21" t="s">
        <v>8</v>
      </c>
      <c r="C17" s="32" t="s">
        <v>9</v>
      </c>
      <c r="D17" s="32"/>
      <c r="E17" s="32" t="s">
        <v>10</v>
      </c>
      <c r="F17" s="32"/>
      <c r="G17" s="2" t="s">
        <v>11</v>
      </c>
      <c r="H17" s="2" t="s">
        <v>18</v>
      </c>
      <c r="I17" s="3">
        <v>46100</v>
      </c>
      <c r="J17" s="3">
        <v>46101</v>
      </c>
      <c r="K17" s="3">
        <v>46102</v>
      </c>
      <c r="L17" s="3">
        <v>46103</v>
      </c>
      <c r="M17" s="3">
        <v>46104</v>
      </c>
      <c r="N17" s="3">
        <v>46105</v>
      </c>
      <c r="O17" s="3">
        <v>46106</v>
      </c>
      <c r="P17" s="3">
        <v>46107</v>
      </c>
      <c r="Q17" s="3">
        <v>46108</v>
      </c>
      <c r="R17" s="3">
        <v>46109</v>
      </c>
      <c r="S17" s="3">
        <v>46110</v>
      </c>
      <c r="T17" s="3">
        <v>46111</v>
      </c>
      <c r="U17" s="3">
        <v>46112</v>
      </c>
      <c r="V17" s="3">
        <v>46113</v>
      </c>
      <c r="W17" s="3">
        <v>46114</v>
      </c>
      <c r="X17" s="3">
        <v>46115</v>
      </c>
      <c r="Y17" s="3">
        <v>46116</v>
      </c>
      <c r="Z17" s="3">
        <v>46117</v>
      </c>
      <c r="AA17" s="3">
        <v>46118</v>
      </c>
      <c r="AB17" s="3">
        <v>46119</v>
      </c>
      <c r="AC17" s="3">
        <v>46120</v>
      </c>
      <c r="AD17" s="3">
        <v>46121</v>
      </c>
    </row>
    <row r="18" spans="1:30" x14ac:dyDescent="0.35">
      <c r="A18" s="37" t="s">
        <v>4</v>
      </c>
      <c r="B18" s="37" t="s">
        <v>90</v>
      </c>
      <c r="C18" s="28" t="s">
        <v>91</v>
      </c>
      <c r="D18" s="29"/>
      <c r="E18" s="30" t="s">
        <v>17</v>
      </c>
      <c r="F18" s="31"/>
      <c r="G18" s="4">
        <v>4</v>
      </c>
      <c r="H18" s="4">
        <v>4</v>
      </c>
      <c r="I18" s="5">
        <v>0</v>
      </c>
      <c r="J18" s="18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</row>
    <row r="19" spans="1:30" x14ac:dyDescent="0.35">
      <c r="A19" s="38"/>
      <c r="B19" s="38"/>
      <c r="C19" s="28" t="s">
        <v>92</v>
      </c>
      <c r="D19" s="29"/>
      <c r="E19" s="30" t="s">
        <v>94</v>
      </c>
      <c r="F19" s="31"/>
      <c r="G19" s="4">
        <v>4</v>
      </c>
      <c r="H19" s="4">
        <v>4</v>
      </c>
      <c r="I19" s="5">
        <v>0</v>
      </c>
      <c r="J19" s="18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 x14ac:dyDescent="0.35">
      <c r="A20" s="38"/>
      <c r="B20" s="39"/>
      <c r="C20" s="28" t="s">
        <v>93</v>
      </c>
      <c r="D20" s="29"/>
      <c r="E20" s="30" t="s">
        <v>95</v>
      </c>
      <c r="F20" s="31"/>
      <c r="G20" s="4">
        <v>4</v>
      </c>
      <c r="H20" s="4">
        <v>4</v>
      </c>
      <c r="I20" s="5">
        <v>0</v>
      </c>
      <c r="J20" s="18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</row>
    <row r="21" spans="1:30" x14ac:dyDescent="0.35">
      <c r="A21" s="38"/>
      <c r="B21" s="27" t="s">
        <v>13</v>
      </c>
      <c r="C21" s="28" t="s">
        <v>25</v>
      </c>
      <c r="D21" s="29"/>
      <c r="E21" s="30" t="s">
        <v>96</v>
      </c>
      <c r="F21" s="31"/>
      <c r="G21" s="4">
        <v>4</v>
      </c>
      <c r="H21" s="4">
        <v>4</v>
      </c>
      <c r="I21" s="4">
        <v>4</v>
      </c>
      <c r="J21" s="5">
        <v>0</v>
      </c>
      <c r="K21" s="18">
        <v>0</v>
      </c>
      <c r="L21" s="18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 x14ac:dyDescent="0.35">
      <c r="A22" s="38"/>
      <c r="B22" s="27"/>
      <c r="C22" s="28" t="s">
        <v>24</v>
      </c>
      <c r="D22" s="29"/>
      <c r="E22" s="30" t="s">
        <v>95</v>
      </c>
      <c r="F22" s="31"/>
      <c r="G22" s="4">
        <v>4</v>
      </c>
      <c r="H22" s="4">
        <v>4</v>
      </c>
      <c r="I22" s="4">
        <v>4</v>
      </c>
      <c r="J22" s="4">
        <v>4</v>
      </c>
      <c r="K22" s="5">
        <v>0</v>
      </c>
      <c r="L22" s="18">
        <v>0</v>
      </c>
      <c r="M22" s="18">
        <v>0</v>
      </c>
      <c r="N22" s="18">
        <v>0</v>
      </c>
      <c r="O22" s="18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1:30" x14ac:dyDescent="0.35">
      <c r="A23" s="38"/>
      <c r="B23" s="27"/>
      <c r="C23" s="28" t="s">
        <v>26</v>
      </c>
      <c r="D23" s="29"/>
      <c r="E23" s="30" t="s">
        <v>96</v>
      </c>
      <c r="F23" s="31"/>
      <c r="G23" s="4">
        <v>4</v>
      </c>
      <c r="H23" s="4">
        <v>4</v>
      </c>
      <c r="I23" s="4">
        <v>4</v>
      </c>
      <c r="J23" s="4">
        <v>4</v>
      </c>
      <c r="K23" s="4">
        <v>4</v>
      </c>
      <c r="L23" s="4">
        <v>4</v>
      </c>
      <c r="M23" s="5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 x14ac:dyDescent="0.35">
      <c r="A24" s="38"/>
      <c r="B24" s="27"/>
      <c r="C24" s="28" t="s">
        <v>100</v>
      </c>
      <c r="D24" s="29"/>
      <c r="E24" s="30" t="s">
        <v>95</v>
      </c>
      <c r="F24" s="31"/>
      <c r="G24" s="4">
        <v>3</v>
      </c>
      <c r="H24" s="4">
        <v>3</v>
      </c>
      <c r="I24" s="4">
        <v>3</v>
      </c>
      <c r="J24" s="4">
        <v>3</v>
      </c>
      <c r="K24" s="4">
        <v>3</v>
      </c>
      <c r="L24" s="4">
        <v>3</v>
      </c>
      <c r="M24" s="4">
        <v>3</v>
      </c>
      <c r="N24" s="4">
        <v>3</v>
      </c>
      <c r="O24" s="5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 x14ac:dyDescent="0.35">
      <c r="A25" s="38"/>
      <c r="B25" s="27"/>
      <c r="C25" s="28" t="s">
        <v>97</v>
      </c>
      <c r="D25" s="29"/>
      <c r="E25" s="30" t="s">
        <v>96</v>
      </c>
      <c r="F25" s="31"/>
      <c r="G25" s="4">
        <v>5</v>
      </c>
      <c r="H25" s="4">
        <v>5</v>
      </c>
      <c r="I25" s="4">
        <v>5</v>
      </c>
      <c r="J25" s="4">
        <v>5</v>
      </c>
      <c r="K25" s="4">
        <v>5</v>
      </c>
      <c r="L25" s="4">
        <v>5</v>
      </c>
      <c r="M25" s="4">
        <v>5</v>
      </c>
      <c r="N25" s="4">
        <v>5</v>
      </c>
      <c r="O25" s="4">
        <v>5</v>
      </c>
      <c r="P25" s="4">
        <v>5</v>
      </c>
      <c r="Q25" s="5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 x14ac:dyDescent="0.35">
      <c r="A26" s="38"/>
      <c r="B26" s="27"/>
      <c r="C26" s="28" t="s">
        <v>101</v>
      </c>
      <c r="D26" s="29"/>
      <c r="E26" s="30" t="s">
        <v>95</v>
      </c>
      <c r="F26" s="31"/>
      <c r="G26" s="4">
        <v>3</v>
      </c>
      <c r="H26" s="4">
        <v>3</v>
      </c>
      <c r="I26" s="4">
        <v>3</v>
      </c>
      <c r="J26" s="4">
        <v>3</v>
      </c>
      <c r="K26" s="4">
        <v>3</v>
      </c>
      <c r="L26" s="4">
        <v>3</v>
      </c>
      <c r="M26" s="4">
        <v>3</v>
      </c>
      <c r="N26" s="4">
        <v>3</v>
      </c>
      <c r="O26" s="4">
        <v>3</v>
      </c>
      <c r="P26" s="4">
        <v>3</v>
      </c>
      <c r="Q26" s="4">
        <v>3</v>
      </c>
      <c r="R26" s="5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</row>
    <row r="27" spans="1:30" x14ac:dyDescent="0.35">
      <c r="A27" s="38"/>
      <c r="B27" s="27"/>
      <c r="C27" s="28" t="s">
        <v>98</v>
      </c>
      <c r="D27" s="29"/>
      <c r="E27" s="30" t="s">
        <v>96</v>
      </c>
      <c r="F27" s="31"/>
      <c r="G27" s="4">
        <v>3</v>
      </c>
      <c r="H27" s="4">
        <v>3</v>
      </c>
      <c r="I27" s="4">
        <v>3</v>
      </c>
      <c r="J27" s="4">
        <v>3</v>
      </c>
      <c r="K27" s="4">
        <v>3</v>
      </c>
      <c r="L27" s="4">
        <v>3</v>
      </c>
      <c r="M27" s="4">
        <v>3</v>
      </c>
      <c r="N27" s="4">
        <v>3</v>
      </c>
      <c r="O27" s="4">
        <v>3</v>
      </c>
      <c r="P27" s="4">
        <v>3</v>
      </c>
      <c r="Q27" s="4">
        <v>3</v>
      </c>
      <c r="R27" s="4">
        <v>3</v>
      </c>
      <c r="S27" s="5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</row>
    <row r="28" spans="1:30" x14ac:dyDescent="0.35">
      <c r="A28" s="38"/>
      <c r="B28" s="27"/>
      <c r="C28" s="28" t="s">
        <v>102</v>
      </c>
      <c r="D28" s="29"/>
      <c r="E28" s="30" t="s">
        <v>95</v>
      </c>
      <c r="F28" s="31"/>
      <c r="G28" s="4">
        <v>3</v>
      </c>
      <c r="H28" s="4">
        <v>3</v>
      </c>
      <c r="I28" s="4">
        <v>3</v>
      </c>
      <c r="J28" s="4">
        <v>3</v>
      </c>
      <c r="K28" s="4">
        <v>3</v>
      </c>
      <c r="L28" s="4">
        <v>3</v>
      </c>
      <c r="M28" s="4">
        <v>3</v>
      </c>
      <c r="N28" s="4">
        <v>3</v>
      </c>
      <c r="O28" s="4">
        <v>3</v>
      </c>
      <c r="P28" s="4">
        <v>3</v>
      </c>
      <c r="Q28" s="4">
        <v>3</v>
      </c>
      <c r="R28" s="4">
        <v>3</v>
      </c>
      <c r="S28" s="4">
        <v>3</v>
      </c>
      <c r="T28" s="5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1:30" x14ac:dyDescent="0.35">
      <c r="A29" s="38"/>
      <c r="B29" s="27"/>
      <c r="C29" s="28" t="s">
        <v>99</v>
      </c>
      <c r="D29" s="29"/>
      <c r="E29" s="30" t="s">
        <v>96</v>
      </c>
      <c r="F29" s="31"/>
      <c r="G29" s="4">
        <v>2</v>
      </c>
      <c r="H29" s="4">
        <v>2</v>
      </c>
      <c r="I29" s="4">
        <v>2</v>
      </c>
      <c r="J29" s="4">
        <v>2</v>
      </c>
      <c r="K29" s="4">
        <v>2</v>
      </c>
      <c r="L29" s="4">
        <v>2</v>
      </c>
      <c r="M29" s="4">
        <v>2</v>
      </c>
      <c r="N29" s="4">
        <v>2</v>
      </c>
      <c r="O29" s="4">
        <v>2</v>
      </c>
      <c r="P29" s="4">
        <v>2</v>
      </c>
      <c r="Q29" s="4">
        <v>2</v>
      </c>
      <c r="R29" s="4">
        <v>2</v>
      </c>
      <c r="S29" s="4">
        <v>2</v>
      </c>
      <c r="T29" s="4">
        <v>2</v>
      </c>
      <c r="U29" s="4">
        <v>2</v>
      </c>
      <c r="V29" s="5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</row>
    <row r="30" spans="1:30" x14ac:dyDescent="0.35">
      <c r="A30" s="38"/>
      <c r="B30" s="27"/>
      <c r="C30" s="28" t="s">
        <v>30</v>
      </c>
      <c r="D30" s="29"/>
      <c r="E30" s="30" t="s">
        <v>95</v>
      </c>
      <c r="F30" s="31"/>
      <c r="G30" s="4">
        <v>3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3</v>
      </c>
      <c r="N30" s="4">
        <v>3</v>
      </c>
      <c r="O30" s="4">
        <v>3</v>
      </c>
      <c r="P30" s="4">
        <v>3</v>
      </c>
      <c r="Q30" s="4">
        <v>3</v>
      </c>
      <c r="R30" s="4">
        <v>3</v>
      </c>
      <c r="S30" s="4">
        <v>3</v>
      </c>
      <c r="T30" s="4">
        <v>3</v>
      </c>
      <c r="U30" s="4">
        <v>3</v>
      </c>
      <c r="V30" s="4">
        <v>3</v>
      </c>
      <c r="W30" s="5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</row>
    <row r="31" spans="1:30" x14ac:dyDescent="0.35">
      <c r="A31" s="38"/>
      <c r="B31" s="27"/>
      <c r="C31" s="28" t="s">
        <v>264</v>
      </c>
      <c r="D31" s="29"/>
      <c r="E31" s="30" t="s">
        <v>96</v>
      </c>
      <c r="F31" s="31"/>
      <c r="G31" s="4">
        <v>3</v>
      </c>
      <c r="H31" s="4">
        <v>3</v>
      </c>
      <c r="I31" s="4">
        <v>3</v>
      </c>
      <c r="J31" s="4">
        <v>3</v>
      </c>
      <c r="K31" s="4">
        <v>3</v>
      </c>
      <c r="L31" s="4">
        <v>3</v>
      </c>
      <c r="M31" s="4">
        <v>3</v>
      </c>
      <c r="N31" s="4">
        <v>3</v>
      </c>
      <c r="O31" s="4">
        <v>3</v>
      </c>
      <c r="P31" s="4">
        <v>3</v>
      </c>
      <c r="Q31" s="4">
        <v>3</v>
      </c>
      <c r="R31" s="4">
        <v>3</v>
      </c>
      <c r="S31" s="4">
        <v>3</v>
      </c>
      <c r="T31" s="4">
        <v>3</v>
      </c>
      <c r="U31" s="4">
        <v>3</v>
      </c>
      <c r="V31" s="4">
        <v>3</v>
      </c>
      <c r="W31" s="4">
        <v>3</v>
      </c>
      <c r="X31" s="4">
        <v>3</v>
      </c>
      <c r="Y31" s="5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 x14ac:dyDescent="0.35">
      <c r="A32" s="38"/>
      <c r="B32" s="27"/>
      <c r="C32" s="28" t="s">
        <v>31</v>
      </c>
      <c r="D32" s="29"/>
      <c r="E32" s="30" t="s">
        <v>95</v>
      </c>
      <c r="F32" s="31"/>
      <c r="G32" s="4">
        <v>4</v>
      </c>
      <c r="H32" s="4">
        <v>4</v>
      </c>
      <c r="I32" s="4">
        <v>4</v>
      </c>
      <c r="J32" s="4">
        <v>4</v>
      </c>
      <c r="K32" s="4">
        <v>4</v>
      </c>
      <c r="L32" s="4">
        <v>4</v>
      </c>
      <c r="M32" s="4">
        <v>4</v>
      </c>
      <c r="N32" s="4">
        <v>4</v>
      </c>
      <c r="O32" s="4">
        <v>4</v>
      </c>
      <c r="P32" s="4">
        <v>4</v>
      </c>
      <c r="Q32" s="4">
        <v>4</v>
      </c>
      <c r="R32" s="4">
        <v>4</v>
      </c>
      <c r="S32" s="4">
        <v>4</v>
      </c>
      <c r="T32" s="4">
        <v>4</v>
      </c>
      <c r="U32" s="4">
        <v>4</v>
      </c>
      <c r="V32" s="4">
        <v>4</v>
      </c>
      <c r="W32" s="4">
        <v>4</v>
      </c>
      <c r="X32" s="4">
        <v>4</v>
      </c>
      <c r="Y32" s="4">
        <v>4</v>
      </c>
      <c r="Z32" s="5">
        <v>0</v>
      </c>
      <c r="AA32" s="4">
        <v>0</v>
      </c>
      <c r="AB32" s="4">
        <v>0</v>
      </c>
      <c r="AC32" s="4">
        <v>0</v>
      </c>
      <c r="AD32" s="4">
        <v>0</v>
      </c>
    </row>
    <row r="33" spans="1:30" x14ac:dyDescent="0.35">
      <c r="A33" s="38"/>
      <c r="B33" s="27"/>
      <c r="C33" s="28" t="s">
        <v>34</v>
      </c>
      <c r="D33" s="29"/>
      <c r="E33" s="30" t="s">
        <v>96</v>
      </c>
      <c r="F33" s="31"/>
      <c r="G33" s="4">
        <v>4</v>
      </c>
      <c r="H33" s="4">
        <v>4</v>
      </c>
      <c r="I33" s="4">
        <v>4</v>
      </c>
      <c r="J33" s="4">
        <v>4</v>
      </c>
      <c r="K33" s="4">
        <v>4</v>
      </c>
      <c r="L33" s="4">
        <v>4</v>
      </c>
      <c r="M33" s="4">
        <v>4</v>
      </c>
      <c r="N33" s="4">
        <v>4</v>
      </c>
      <c r="O33" s="4">
        <v>4</v>
      </c>
      <c r="P33" s="4">
        <v>4</v>
      </c>
      <c r="Q33" s="4">
        <v>4</v>
      </c>
      <c r="R33" s="4">
        <v>4</v>
      </c>
      <c r="S33" s="4">
        <v>4</v>
      </c>
      <c r="T33" s="4">
        <v>4</v>
      </c>
      <c r="U33" s="4">
        <v>4</v>
      </c>
      <c r="V33" s="4">
        <v>4</v>
      </c>
      <c r="W33" s="4">
        <v>4</v>
      </c>
      <c r="X33" s="4">
        <v>4</v>
      </c>
      <c r="Y33" s="4">
        <v>4</v>
      </c>
      <c r="Z33" s="4">
        <v>4</v>
      </c>
      <c r="AA33" s="5">
        <v>0</v>
      </c>
      <c r="AB33" s="4">
        <v>0</v>
      </c>
      <c r="AC33" s="4">
        <v>0</v>
      </c>
      <c r="AD33" s="4">
        <v>0</v>
      </c>
    </row>
    <row r="34" spans="1:30" x14ac:dyDescent="0.35">
      <c r="A34" s="38"/>
      <c r="B34" s="27" t="s">
        <v>14</v>
      </c>
      <c r="C34" s="28" t="s">
        <v>74</v>
      </c>
      <c r="D34" s="29"/>
      <c r="E34" s="30" t="s">
        <v>94</v>
      </c>
      <c r="F34" s="31"/>
      <c r="G34" s="4">
        <v>10</v>
      </c>
      <c r="H34" s="4">
        <v>10</v>
      </c>
      <c r="I34" s="4">
        <v>10</v>
      </c>
      <c r="J34" s="4">
        <v>1</v>
      </c>
      <c r="K34" s="5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</row>
    <row r="35" spans="1:30" x14ac:dyDescent="0.35">
      <c r="A35" s="38"/>
      <c r="B35" s="27"/>
      <c r="C35" s="28" t="s">
        <v>36</v>
      </c>
      <c r="D35" s="29"/>
      <c r="E35" s="30" t="s">
        <v>103</v>
      </c>
      <c r="F35" s="31"/>
      <c r="G35" s="4">
        <v>7</v>
      </c>
      <c r="H35" s="4">
        <v>7</v>
      </c>
      <c r="I35" s="4">
        <v>7</v>
      </c>
      <c r="J35" s="5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</row>
    <row r="36" spans="1:30" x14ac:dyDescent="0.35">
      <c r="A36" s="38"/>
      <c r="B36" s="27"/>
      <c r="C36" s="28" t="s">
        <v>75</v>
      </c>
      <c r="D36" s="29"/>
      <c r="E36" s="30" t="s">
        <v>94</v>
      </c>
      <c r="F36" s="31"/>
      <c r="G36" s="4">
        <v>10</v>
      </c>
      <c r="H36" s="4">
        <v>10</v>
      </c>
      <c r="I36" s="4">
        <v>10</v>
      </c>
      <c r="J36" s="4">
        <v>10</v>
      </c>
      <c r="K36" s="4">
        <v>2</v>
      </c>
      <c r="L36" s="5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</row>
    <row r="37" spans="1:30" x14ac:dyDescent="0.35">
      <c r="A37" s="38"/>
      <c r="B37" s="27"/>
      <c r="C37" s="28" t="s">
        <v>35</v>
      </c>
      <c r="D37" s="29"/>
      <c r="E37" s="30" t="s">
        <v>104</v>
      </c>
      <c r="F37" s="31"/>
      <c r="G37" s="4">
        <v>7</v>
      </c>
      <c r="H37" s="4">
        <v>7</v>
      </c>
      <c r="I37" s="4">
        <v>7</v>
      </c>
      <c r="J37" s="4">
        <v>7</v>
      </c>
      <c r="K37" s="5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</row>
    <row r="38" spans="1:30" x14ac:dyDescent="0.35">
      <c r="A38" s="38"/>
      <c r="B38" s="27"/>
      <c r="C38" s="28" t="s">
        <v>37</v>
      </c>
      <c r="D38" s="29"/>
      <c r="E38" s="30" t="s">
        <v>94</v>
      </c>
      <c r="F38" s="31"/>
      <c r="G38" s="4">
        <v>10</v>
      </c>
      <c r="H38" s="4">
        <v>10</v>
      </c>
      <c r="I38" s="4">
        <v>10</v>
      </c>
      <c r="J38" s="4">
        <v>10</v>
      </c>
      <c r="K38" s="4">
        <v>10</v>
      </c>
      <c r="L38" s="4">
        <v>10</v>
      </c>
      <c r="M38" s="4">
        <v>4</v>
      </c>
      <c r="N38" s="5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</row>
    <row r="39" spans="1:30" x14ac:dyDescent="0.35">
      <c r="A39" s="38"/>
      <c r="B39" s="27"/>
      <c r="C39" s="28" t="s">
        <v>105</v>
      </c>
      <c r="D39" s="29"/>
      <c r="E39" s="30" t="s">
        <v>103</v>
      </c>
      <c r="F39" s="31"/>
      <c r="G39" s="4">
        <v>7</v>
      </c>
      <c r="H39" s="4">
        <v>7</v>
      </c>
      <c r="I39" s="4">
        <v>7</v>
      </c>
      <c r="J39" s="4">
        <v>7</v>
      </c>
      <c r="K39" s="4">
        <v>7</v>
      </c>
      <c r="L39" s="4">
        <v>7</v>
      </c>
      <c r="M39" s="5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</row>
    <row r="40" spans="1:30" x14ac:dyDescent="0.35">
      <c r="A40" s="38"/>
      <c r="B40" s="27"/>
      <c r="C40" s="28" t="s">
        <v>106</v>
      </c>
      <c r="D40" s="29"/>
      <c r="E40" s="30" t="s">
        <v>94</v>
      </c>
      <c r="F40" s="31"/>
      <c r="G40" s="4">
        <v>6</v>
      </c>
      <c r="H40" s="4">
        <v>6</v>
      </c>
      <c r="I40" s="4">
        <v>6</v>
      </c>
      <c r="J40" s="4">
        <v>6</v>
      </c>
      <c r="K40" s="4">
        <v>6</v>
      </c>
      <c r="L40" s="4">
        <v>6</v>
      </c>
      <c r="M40" s="4">
        <v>6</v>
      </c>
      <c r="N40" s="4">
        <v>6</v>
      </c>
      <c r="O40" s="4">
        <v>6</v>
      </c>
      <c r="P40" s="5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</row>
    <row r="41" spans="1:30" x14ac:dyDescent="0.35">
      <c r="A41" s="38"/>
      <c r="B41" s="27"/>
      <c r="C41" s="28" t="s">
        <v>110</v>
      </c>
      <c r="D41" s="29"/>
      <c r="E41" s="30" t="s">
        <v>104</v>
      </c>
      <c r="F41" s="31"/>
      <c r="G41" s="4">
        <v>5</v>
      </c>
      <c r="H41" s="4">
        <v>5</v>
      </c>
      <c r="I41" s="4">
        <v>5</v>
      </c>
      <c r="J41" s="4">
        <v>5</v>
      </c>
      <c r="K41" s="4">
        <v>5</v>
      </c>
      <c r="L41" s="4">
        <v>5</v>
      </c>
      <c r="M41" s="4">
        <v>5</v>
      </c>
      <c r="N41" s="4">
        <v>5</v>
      </c>
      <c r="O41" s="4">
        <v>5</v>
      </c>
      <c r="P41" s="5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</row>
    <row r="42" spans="1:30" x14ac:dyDescent="0.35">
      <c r="A42" s="38"/>
      <c r="B42" s="27"/>
      <c r="C42" s="28" t="s">
        <v>107</v>
      </c>
      <c r="D42" s="29"/>
      <c r="E42" s="30" t="s">
        <v>94</v>
      </c>
      <c r="F42" s="31"/>
      <c r="G42" s="4">
        <v>15</v>
      </c>
      <c r="H42" s="4">
        <v>15</v>
      </c>
      <c r="I42" s="4">
        <v>15</v>
      </c>
      <c r="J42" s="4">
        <v>15</v>
      </c>
      <c r="K42" s="4">
        <v>15</v>
      </c>
      <c r="L42" s="4">
        <v>15</v>
      </c>
      <c r="M42" s="4">
        <v>15</v>
      </c>
      <c r="N42" s="4">
        <v>15</v>
      </c>
      <c r="O42" s="4">
        <v>15</v>
      </c>
      <c r="P42" s="4">
        <v>15</v>
      </c>
      <c r="Q42" s="4">
        <v>9</v>
      </c>
      <c r="R42" s="5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</row>
    <row r="43" spans="1:30" x14ac:dyDescent="0.35">
      <c r="A43" s="38"/>
      <c r="B43" s="27"/>
      <c r="C43" s="28" t="s">
        <v>111</v>
      </c>
      <c r="D43" s="29"/>
      <c r="E43" s="30" t="s">
        <v>103</v>
      </c>
      <c r="F43" s="31"/>
      <c r="G43" s="4">
        <v>10</v>
      </c>
      <c r="H43" s="4">
        <v>10</v>
      </c>
      <c r="I43" s="4">
        <v>10</v>
      </c>
      <c r="J43" s="4">
        <v>10</v>
      </c>
      <c r="K43" s="4">
        <v>10</v>
      </c>
      <c r="L43" s="4">
        <v>10</v>
      </c>
      <c r="M43" s="4">
        <v>10</v>
      </c>
      <c r="N43" s="4">
        <v>10</v>
      </c>
      <c r="O43" s="4">
        <v>10</v>
      </c>
      <c r="P43" s="4">
        <v>10</v>
      </c>
      <c r="Q43" s="4">
        <v>1</v>
      </c>
      <c r="R43" s="5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</row>
    <row r="44" spans="1:30" x14ac:dyDescent="0.35">
      <c r="A44" s="38"/>
      <c r="B44" s="27"/>
      <c r="C44" s="28" t="s">
        <v>108</v>
      </c>
      <c r="D44" s="29"/>
      <c r="E44" s="30" t="s">
        <v>94</v>
      </c>
      <c r="F44" s="31"/>
      <c r="G44" s="4">
        <v>8</v>
      </c>
      <c r="H44" s="4">
        <v>8</v>
      </c>
      <c r="I44" s="4">
        <v>8</v>
      </c>
      <c r="J44" s="4">
        <v>8</v>
      </c>
      <c r="K44" s="4">
        <v>8</v>
      </c>
      <c r="L44" s="4">
        <v>8</v>
      </c>
      <c r="M44" s="4">
        <v>8</v>
      </c>
      <c r="N44" s="4">
        <v>8</v>
      </c>
      <c r="O44" s="4">
        <v>8</v>
      </c>
      <c r="P44" s="4">
        <v>8</v>
      </c>
      <c r="Q44" s="4">
        <v>8</v>
      </c>
      <c r="R44" s="4">
        <v>8</v>
      </c>
      <c r="S44" s="5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</row>
    <row r="45" spans="1:30" x14ac:dyDescent="0.35">
      <c r="A45" s="38"/>
      <c r="B45" s="27"/>
      <c r="C45" s="28" t="s">
        <v>109</v>
      </c>
      <c r="D45" s="29"/>
      <c r="E45" s="30" t="s">
        <v>104</v>
      </c>
      <c r="F45" s="31"/>
      <c r="G45" s="4">
        <v>6</v>
      </c>
      <c r="H45" s="4">
        <v>6</v>
      </c>
      <c r="I45" s="4">
        <v>6</v>
      </c>
      <c r="J45" s="4">
        <v>6</v>
      </c>
      <c r="K45" s="4">
        <v>6</v>
      </c>
      <c r="L45" s="4">
        <v>6</v>
      </c>
      <c r="M45" s="4">
        <v>6</v>
      </c>
      <c r="N45" s="4">
        <v>6</v>
      </c>
      <c r="O45" s="4">
        <v>6</v>
      </c>
      <c r="P45" s="4">
        <v>6</v>
      </c>
      <c r="Q45" s="4">
        <v>6</v>
      </c>
      <c r="R45" s="4">
        <v>6</v>
      </c>
      <c r="S45" s="5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</row>
    <row r="46" spans="1:30" x14ac:dyDescent="0.35">
      <c r="A46" s="38"/>
      <c r="B46" s="27"/>
      <c r="C46" s="28" t="s">
        <v>112</v>
      </c>
      <c r="D46" s="29"/>
      <c r="E46" s="30" t="s">
        <v>94</v>
      </c>
      <c r="F46" s="31"/>
      <c r="G46" s="4">
        <v>6</v>
      </c>
      <c r="H46" s="4">
        <v>6</v>
      </c>
      <c r="I46" s="4">
        <v>6</v>
      </c>
      <c r="J46" s="4">
        <v>6</v>
      </c>
      <c r="K46" s="4">
        <v>6</v>
      </c>
      <c r="L46" s="4">
        <v>6</v>
      </c>
      <c r="M46" s="4">
        <v>6</v>
      </c>
      <c r="N46" s="4">
        <v>6</v>
      </c>
      <c r="O46" s="4">
        <v>6</v>
      </c>
      <c r="P46" s="4">
        <v>6</v>
      </c>
      <c r="Q46" s="4">
        <v>6</v>
      </c>
      <c r="R46" s="4">
        <v>6</v>
      </c>
      <c r="S46" s="4">
        <v>6</v>
      </c>
      <c r="T46" s="4">
        <v>2</v>
      </c>
      <c r="U46" s="5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</row>
    <row r="47" spans="1:30" x14ac:dyDescent="0.35">
      <c r="A47" s="38"/>
      <c r="B47" s="27"/>
      <c r="C47" s="28" t="s">
        <v>38</v>
      </c>
      <c r="D47" s="29"/>
      <c r="E47" s="30" t="s">
        <v>103</v>
      </c>
      <c r="F47" s="31"/>
      <c r="G47" s="4">
        <v>5</v>
      </c>
      <c r="H47" s="4">
        <v>5</v>
      </c>
      <c r="I47" s="4">
        <v>5</v>
      </c>
      <c r="J47" s="4">
        <v>5</v>
      </c>
      <c r="K47" s="4">
        <v>5</v>
      </c>
      <c r="L47" s="4">
        <v>5</v>
      </c>
      <c r="M47" s="4">
        <v>5</v>
      </c>
      <c r="N47" s="4">
        <v>5</v>
      </c>
      <c r="O47" s="4">
        <v>5</v>
      </c>
      <c r="P47" s="4">
        <v>5</v>
      </c>
      <c r="Q47" s="4">
        <v>5</v>
      </c>
      <c r="R47" s="4">
        <v>5</v>
      </c>
      <c r="S47" s="4">
        <v>5</v>
      </c>
      <c r="T47" s="5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</row>
    <row r="48" spans="1:30" x14ac:dyDescent="0.35">
      <c r="A48" s="38"/>
      <c r="B48" s="27"/>
      <c r="C48" s="28" t="s">
        <v>113</v>
      </c>
      <c r="D48" s="29"/>
      <c r="E48" s="30" t="s">
        <v>94</v>
      </c>
      <c r="F48" s="31"/>
      <c r="G48" s="4">
        <v>7</v>
      </c>
      <c r="H48" s="4">
        <v>7</v>
      </c>
      <c r="I48" s="4">
        <v>7</v>
      </c>
      <c r="J48" s="4">
        <v>7</v>
      </c>
      <c r="K48" s="4">
        <v>7</v>
      </c>
      <c r="L48" s="4">
        <v>7</v>
      </c>
      <c r="M48" s="4">
        <v>7</v>
      </c>
      <c r="N48" s="4">
        <v>7</v>
      </c>
      <c r="O48" s="4">
        <v>7</v>
      </c>
      <c r="P48" s="4">
        <v>7</v>
      </c>
      <c r="Q48" s="4">
        <v>7</v>
      </c>
      <c r="R48" s="4">
        <v>7</v>
      </c>
      <c r="S48" s="4">
        <v>7</v>
      </c>
      <c r="T48" s="4">
        <v>7</v>
      </c>
      <c r="U48" s="4">
        <v>4</v>
      </c>
      <c r="V48" s="5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</row>
    <row r="49" spans="1:30" x14ac:dyDescent="0.35">
      <c r="A49" s="38"/>
      <c r="B49" s="27"/>
      <c r="C49" s="28" t="s">
        <v>114</v>
      </c>
      <c r="D49" s="29"/>
      <c r="E49" s="30" t="s">
        <v>104</v>
      </c>
      <c r="F49" s="31"/>
      <c r="G49" s="4">
        <v>5</v>
      </c>
      <c r="H49" s="4">
        <v>5</v>
      </c>
      <c r="I49" s="4">
        <v>5</v>
      </c>
      <c r="J49" s="4">
        <v>5</v>
      </c>
      <c r="K49" s="4">
        <v>5</v>
      </c>
      <c r="L49" s="4">
        <v>5</v>
      </c>
      <c r="M49" s="4">
        <v>5</v>
      </c>
      <c r="N49" s="4">
        <v>5</v>
      </c>
      <c r="O49" s="4">
        <v>5</v>
      </c>
      <c r="P49" s="4">
        <v>5</v>
      </c>
      <c r="Q49" s="4">
        <v>5</v>
      </c>
      <c r="R49" s="4">
        <v>5</v>
      </c>
      <c r="S49" s="4">
        <v>5</v>
      </c>
      <c r="T49" s="4">
        <v>5</v>
      </c>
      <c r="U49" s="5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</row>
    <row r="50" spans="1:30" x14ac:dyDescent="0.35">
      <c r="A50" s="38"/>
      <c r="B50" s="27"/>
      <c r="C50" s="28" t="s">
        <v>115</v>
      </c>
      <c r="D50" s="29"/>
      <c r="E50" s="30" t="s">
        <v>94</v>
      </c>
      <c r="F50" s="31"/>
      <c r="G50" s="4">
        <v>6</v>
      </c>
      <c r="H50" s="4">
        <v>6</v>
      </c>
      <c r="I50" s="4">
        <v>6</v>
      </c>
      <c r="J50" s="4">
        <v>6</v>
      </c>
      <c r="K50" s="4">
        <v>6</v>
      </c>
      <c r="L50" s="4">
        <v>6</v>
      </c>
      <c r="M50" s="4">
        <v>6</v>
      </c>
      <c r="N50" s="4">
        <v>6</v>
      </c>
      <c r="O50" s="4">
        <v>6</v>
      </c>
      <c r="P50" s="4">
        <v>6</v>
      </c>
      <c r="Q50" s="4">
        <v>6</v>
      </c>
      <c r="R50" s="4">
        <v>6</v>
      </c>
      <c r="S50" s="4">
        <v>6</v>
      </c>
      <c r="T50" s="4">
        <v>6</v>
      </c>
      <c r="U50" s="4">
        <v>6</v>
      </c>
      <c r="V50" s="4">
        <v>6</v>
      </c>
      <c r="W50" s="5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</row>
    <row r="51" spans="1:30" x14ac:dyDescent="0.35">
      <c r="A51" s="38"/>
      <c r="B51" s="27"/>
      <c r="C51" s="28" t="s">
        <v>116</v>
      </c>
      <c r="D51" s="29"/>
      <c r="E51" s="30" t="s">
        <v>103</v>
      </c>
      <c r="F51" s="31"/>
      <c r="G51" s="4">
        <v>4</v>
      </c>
      <c r="H51" s="4">
        <v>4</v>
      </c>
      <c r="I51" s="4">
        <v>4</v>
      </c>
      <c r="J51" s="4">
        <v>4</v>
      </c>
      <c r="K51" s="4">
        <v>4</v>
      </c>
      <c r="L51" s="4">
        <v>4</v>
      </c>
      <c r="M51" s="4">
        <v>4</v>
      </c>
      <c r="N51" s="4">
        <v>4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4">
        <v>4</v>
      </c>
      <c r="W51" s="5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</row>
    <row r="52" spans="1:30" x14ac:dyDescent="0.35">
      <c r="A52" s="38"/>
      <c r="B52" s="27"/>
      <c r="C52" s="28" t="s">
        <v>79</v>
      </c>
      <c r="D52" s="29"/>
      <c r="E52" s="30" t="s">
        <v>94</v>
      </c>
      <c r="F52" s="31"/>
      <c r="G52" s="4">
        <v>8</v>
      </c>
      <c r="H52" s="4">
        <v>8</v>
      </c>
      <c r="I52" s="4">
        <v>8</v>
      </c>
      <c r="J52" s="4">
        <v>8</v>
      </c>
      <c r="K52" s="4">
        <v>8</v>
      </c>
      <c r="L52" s="4">
        <v>8</v>
      </c>
      <c r="M52" s="4">
        <v>8</v>
      </c>
      <c r="N52" s="4">
        <v>8</v>
      </c>
      <c r="O52" s="4">
        <v>8</v>
      </c>
      <c r="P52" s="4">
        <v>8</v>
      </c>
      <c r="Q52" s="4">
        <v>8</v>
      </c>
      <c r="R52" s="4">
        <v>8</v>
      </c>
      <c r="S52" s="4">
        <v>8</v>
      </c>
      <c r="T52" s="4">
        <v>8</v>
      </c>
      <c r="U52" s="4">
        <v>8</v>
      </c>
      <c r="V52" s="4">
        <v>8</v>
      </c>
      <c r="W52" s="4">
        <v>8</v>
      </c>
      <c r="X52" s="4">
        <v>2</v>
      </c>
      <c r="Y52" s="5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</row>
    <row r="53" spans="1:30" x14ac:dyDescent="0.35">
      <c r="A53" s="38"/>
      <c r="B53" s="27"/>
      <c r="C53" s="28" t="s">
        <v>83</v>
      </c>
      <c r="D53" s="29"/>
      <c r="E53" s="30" t="s">
        <v>104</v>
      </c>
      <c r="F53" s="31"/>
      <c r="G53" s="4">
        <v>6</v>
      </c>
      <c r="H53" s="4">
        <v>6</v>
      </c>
      <c r="I53" s="4">
        <v>6</v>
      </c>
      <c r="J53" s="4">
        <v>6</v>
      </c>
      <c r="K53" s="4">
        <v>6</v>
      </c>
      <c r="L53" s="4">
        <v>6</v>
      </c>
      <c r="M53" s="4">
        <v>6</v>
      </c>
      <c r="N53" s="4">
        <v>6</v>
      </c>
      <c r="O53" s="4">
        <v>6</v>
      </c>
      <c r="P53" s="4">
        <v>6</v>
      </c>
      <c r="Q53" s="4">
        <v>6</v>
      </c>
      <c r="R53" s="4">
        <v>6</v>
      </c>
      <c r="S53" s="4">
        <v>6</v>
      </c>
      <c r="T53" s="4">
        <v>6</v>
      </c>
      <c r="U53" s="4">
        <v>6</v>
      </c>
      <c r="V53" s="4">
        <v>6</v>
      </c>
      <c r="W53" s="4">
        <v>6</v>
      </c>
      <c r="X53" s="5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</row>
    <row r="54" spans="1:30" x14ac:dyDescent="0.35">
      <c r="A54" s="38"/>
      <c r="B54" s="27"/>
      <c r="C54" s="28" t="s">
        <v>265</v>
      </c>
      <c r="D54" s="29"/>
      <c r="E54" s="30" t="s">
        <v>94</v>
      </c>
      <c r="F54" s="31"/>
      <c r="G54" s="4">
        <v>8</v>
      </c>
      <c r="H54" s="4">
        <v>8</v>
      </c>
      <c r="I54" s="4">
        <v>8</v>
      </c>
      <c r="J54" s="4">
        <v>8</v>
      </c>
      <c r="K54" s="4">
        <v>8</v>
      </c>
      <c r="L54" s="4">
        <v>8</v>
      </c>
      <c r="M54" s="4">
        <v>8</v>
      </c>
      <c r="N54" s="4">
        <v>8</v>
      </c>
      <c r="O54" s="4">
        <v>8</v>
      </c>
      <c r="P54" s="4">
        <v>8</v>
      </c>
      <c r="Q54" s="4">
        <v>8</v>
      </c>
      <c r="R54" s="4">
        <v>8</v>
      </c>
      <c r="S54" s="4">
        <v>8</v>
      </c>
      <c r="T54" s="4">
        <v>8</v>
      </c>
      <c r="U54" s="4">
        <v>8</v>
      </c>
      <c r="V54" s="4">
        <v>8</v>
      </c>
      <c r="W54" s="4">
        <v>8</v>
      </c>
      <c r="X54" s="4">
        <v>8</v>
      </c>
      <c r="Y54" s="4">
        <v>1</v>
      </c>
      <c r="Z54" s="5">
        <v>0</v>
      </c>
      <c r="AA54" s="4">
        <v>0</v>
      </c>
      <c r="AB54" s="4">
        <v>0</v>
      </c>
      <c r="AC54" s="4">
        <v>0</v>
      </c>
      <c r="AD54" s="4">
        <v>0</v>
      </c>
    </row>
    <row r="55" spans="1:30" x14ac:dyDescent="0.35">
      <c r="A55" s="38"/>
      <c r="B55" s="27"/>
      <c r="C55" s="28" t="s">
        <v>266</v>
      </c>
      <c r="D55" s="29"/>
      <c r="E55" s="30" t="s">
        <v>103</v>
      </c>
      <c r="F55" s="31"/>
      <c r="G55" s="4">
        <v>6</v>
      </c>
      <c r="H55" s="4">
        <v>6</v>
      </c>
      <c r="I55" s="4">
        <v>6</v>
      </c>
      <c r="J55" s="4">
        <v>6</v>
      </c>
      <c r="K55" s="4">
        <v>6</v>
      </c>
      <c r="L55" s="4">
        <v>6</v>
      </c>
      <c r="M55" s="4">
        <v>6</v>
      </c>
      <c r="N55" s="4">
        <v>6</v>
      </c>
      <c r="O55" s="4">
        <v>6</v>
      </c>
      <c r="P55" s="4">
        <v>6</v>
      </c>
      <c r="Q55" s="4">
        <v>6</v>
      </c>
      <c r="R55" s="4">
        <v>6</v>
      </c>
      <c r="S55" s="4">
        <v>6</v>
      </c>
      <c r="T55" s="4">
        <v>6</v>
      </c>
      <c r="U55" s="4">
        <v>6</v>
      </c>
      <c r="V55" s="4">
        <v>6</v>
      </c>
      <c r="W55" s="4">
        <v>6</v>
      </c>
      <c r="X55" s="4">
        <v>6</v>
      </c>
      <c r="Y55" s="5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</row>
    <row r="56" spans="1:30" x14ac:dyDescent="0.35">
      <c r="A56" s="38"/>
      <c r="B56" s="27"/>
      <c r="C56" s="28" t="s">
        <v>80</v>
      </c>
      <c r="D56" s="29"/>
      <c r="E56" s="30" t="s">
        <v>94</v>
      </c>
      <c r="F56" s="31"/>
      <c r="G56" s="4">
        <v>9</v>
      </c>
      <c r="H56" s="4">
        <v>9</v>
      </c>
      <c r="I56" s="4">
        <v>9</v>
      </c>
      <c r="J56" s="4">
        <v>9</v>
      </c>
      <c r="K56" s="4">
        <v>9</v>
      </c>
      <c r="L56" s="4">
        <v>9</v>
      </c>
      <c r="M56" s="4">
        <v>9</v>
      </c>
      <c r="N56" s="4">
        <v>9</v>
      </c>
      <c r="O56" s="4">
        <v>9</v>
      </c>
      <c r="P56" s="4">
        <v>9</v>
      </c>
      <c r="Q56" s="4">
        <v>9</v>
      </c>
      <c r="R56" s="4">
        <v>9</v>
      </c>
      <c r="S56" s="4">
        <v>9</v>
      </c>
      <c r="T56" s="4">
        <v>9</v>
      </c>
      <c r="U56" s="4">
        <v>9</v>
      </c>
      <c r="V56" s="4">
        <v>9</v>
      </c>
      <c r="W56" s="4">
        <v>9</v>
      </c>
      <c r="X56" s="4">
        <v>9</v>
      </c>
      <c r="Y56" s="4">
        <v>9</v>
      </c>
      <c r="Z56" s="4">
        <v>4</v>
      </c>
      <c r="AA56" s="5">
        <v>0</v>
      </c>
      <c r="AB56" s="4">
        <v>0</v>
      </c>
      <c r="AC56" s="4">
        <v>0</v>
      </c>
      <c r="AD56" s="4">
        <v>0</v>
      </c>
    </row>
    <row r="57" spans="1:30" x14ac:dyDescent="0.35">
      <c r="A57" s="38"/>
      <c r="B57" s="27"/>
      <c r="C57" s="28" t="s">
        <v>84</v>
      </c>
      <c r="D57" s="29"/>
      <c r="E57" s="30" t="s">
        <v>104</v>
      </c>
      <c r="F57" s="31"/>
      <c r="G57" s="4">
        <v>7</v>
      </c>
      <c r="H57" s="4">
        <v>7</v>
      </c>
      <c r="I57" s="4">
        <v>7</v>
      </c>
      <c r="J57" s="4">
        <v>7</v>
      </c>
      <c r="K57" s="4">
        <v>7</v>
      </c>
      <c r="L57" s="4">
        <v>7</v>
      </c>
      <c r="M57" s="4">
        <v>7</v>
      </c>
      <c r="N57" s="4">
        <v>7</v>
      </c>
      <c r="O57" s="4">
        <v>7</v>
      </c>
      <c r="P57" s="4">
        <v>7</v>
      </c>
      <c r="Q57" s="4">
        <v>7</v>
      </c>
      <c r="R57" s="4">
        <v>7</v>
      </c>
      <c r="S57" s="4">
        <v>7</v>
      </c>
      <c r="T57" s="4">
        <v>7</v>
      </c>
      <c r="U57" s="4">
        <v>7</v>
      </c>
      <c r="V57" s="4">
        <v>7</v>
      </c>
      <c r="W57" s="4">
        <v>7</v>
      </c>
      <c r="X57" s="4">
        <v>7</v>
      </c>
      <c r="Y57" s="4">
        <v>7</v>
      </c>
      <c r="Z57" s="5">
        <v>0</v>
      </c>
      <c r="AA57" s="4">
        <v>0</v>
      </c>
      <c r="AB57" s="4">
        <v>0</v>
      </c>
      <c r="AC57" s="4">
        <v>0</v>
      </c>
      <c r="AD57" s="4">
        <v>0</v>
      </c>
    </row>
    <row r="58" spans="1:30" x14ac:dyDescent="0.35">
      <c r="A58" s="38"/>
      <c r="B58" s="27"/>
      <c r="C58" s="28" t="s">
        <v>86</v>
      </c>
      <c r="D58" s="29"/>
      <c r="E58" s="30" t="s">
        <v>94</v>
      </c>
      <c r="F58" s="31"/>
      <c r="G58" s="4">
        <v>9</v>
      </c>
      <c r="H58" s="4">
        <v>9</v>
      </c>
      <c r="I58" s="4">
        <v>9</v>
      </c>
      <c r="J58" s="4">
        <v>9</v>
      </c>
      <c r="K58" s="4">
        <v>9</v>
      </c>
      <c r="L58" s="4">
        <v>9</v>
      </c>
      <c r="M58" s="4">
        <v>9</v>
      </c>
      <c r="N58" s="4">
        <v>9</v>
      </c>
      <c r="O58" s="4">
        <v>9</v>
      </c>
      <c r="P58" s="4">
        <v>9</v>
      </c>
      <c r="Q58" s="4">
        <v>9</v>
      </c>
      <c r="R58" s="4">
        <v>9</v>
      </c>
      <c r="S58" s="4">
        <v>9</v>
      </c>
      <c r="T58" s="4">
        <v>9</v>
      </c>
      <c r="U58" s="4">
        <v>9</v>
      </c>
      <c r="V58" s="4">
        <v>9</v>
      </c>
      <c r="W58" s="4">
        <v>9</v>
      </c>
      <c r="X58" s="4">
        <v>9</v>
      </c>
      <c r="Y58" s="4">
        <v>9</v>
      </c>
      <c r="Z58" s="4">
        <v>9</v>
      </c>
      <c r="AA58" s="4">
        <v>4</v>
      </c>
      <c r="AB58" s="5">
        <v>0</v>
      </c>
      <c r="AC58" s="4">
        <v>0</v>
      </c>
      <c r="AD58" s="4">
        <v>0</v>
      </c>
    </row>
    <row r="59" spans="1:30" x14ac:dyDescent="0.35">
      <c r="A59" s="38"/>
      <c r="B59" s="27"/>
      <c r="C59" s="28" t="s">
        <v>85</v>
      </c>
      <c r="D59" s="29"/>
      <c r="E59" s="30" t="s">
        <v>103</v>
      </c>
      <c r="F59" s="31"/>
      <c r="G59" s="4">
        <v>7</v>
      </c>
      <c r="H59" s="4">
        <v>7</v>
      </c>
      <c r="I59" s="4">
        <v>7</v>
      </c>
      <c r="J59" s="4">
        <v>7</v>
      </c>
      <c r="K59" s="4">
        <v>7</v>
      </c>
      <c r="L59" s="4">
        <v>7</v>
      </c>
      <c r="M59" s="4">
        <v>7</v>
      </c>
      <c r="N59" s="4">
        <v>7</v>
      </c>
      <c r="O59" s="4">
        <v>7</v>
      </c>
      <c r="P59" s="4">
        <v>7</v>
      </c>
      <c r="Q59" s="4">
        <v>7</v>
      </c>
      <c r="R59" s="4">
        <v>7</v>
      </c>
      <c r="S59" s="4">
        <v>7</v>
      </c>
      <c r="T59" s="4">
        <v>7</v>
      </c>
      <c r="U59" s="4">
        <v>7</v>
      </c>
      <c r="V59" s="4">
        <v>7</v>
      </c>
      <c r="W59" s="4">
        <v>7</v>
      </c>
      <c r="X59" s="4">
        <v>7</v>
      </c>
      <c r="Y59" s="4">
        <v>7</v>
      </c>
      <c r="Z59" s="4">
        <v>7</v>
      </c>
      <c r="AA59" s="5">
        <v>0</v>
      </c>
      <c r="AB59" s="4">
        <v>0</v>
      </c>
      <c r="AC59" s="4">
        <v>0</v>
      </c>
      <c r="AD59" s="4">
        <v>0</v>
      </c>
    </row>
    <row r="60" spans="1:30" x14ac:dyDescent="0.35">
      <c r="A60" s="38"/>
      <c r="B60" s="27" t="s">
        <v>15</v>
      </c>
      <c r="C60" s="28" t="s">
        <v>40</v>
      </c>
      <c r="D60" s="29"/>
      <c r="E60" s="30" t="s">
        <v>96</v>
      </c>
      <c r="F60" s="31"/>
      <c r="G60" s="4">
        <v>4</v>
      </c>
      <c r="H60" s="4">
        <v>4</v>
      </c>
      <c r="I60" s="4">
        <v>4</v>
      </c>
      <c r="J60" s="4">
        <v>4</v>
      </c>
      <c r="K60" s="4">
        <v>4</v>
      </c>
      <c r="L60" s="5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</row>
    <row r="61" spans="1:30" x14ac:dyDescent="0.35">
      <c r="A61" s="38"/>
      <c r="B61" s="27"/>
      <c r="C61" s="28" t="s">
        <v>39</v>
      </c>
      <c r="D61" s="29"/>
      <c r="E61" s="30" t="s">
        <v>95</v>
      </c>
      <c r="F61" s="31"/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v>4</v>
      </c>
      <c r="M61" s="5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</row>
    <row r="62" spans="1:30" x14ac:dyDescent="0.35">
      <c r="A62" s="38"/>
      <c r="B62" s="27"/>
      <c r="C62" s="28" t="s">
        <v>41</v>
      </c>
      <c r="D62" s="29"/>
      <c r="E62" s="30" t="s">
        <v>96</v>
      </c>
      <c r="F62" s="31"/>
      <c r="G62" s="4">
        <v>4</v>
      </c>
      <c r="H62" s="4">
        <v>4</v>
      </c>
      <c r="I62" s="4">
        <v>4</v>
      </c>
      <c r="J62" s="4">
        <v>4</v>
      </c>
      <c r="K62" s="4">
        <v>4</v>
      </c>
      <c r="L62" s="4">
        <v>4</v>
      </c>
      <c r="M62" s="4">
        <v>4</v>
      </c>
      <c r="N62" s="4">
        <v>4</v>
      </c>
      <c r="O62" s="5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</row>
    <row r="63" spans="1:30" x14ac:dyDescent="0.35">
      <c r="A63" s="38"/>
      <c r="B63" s="27"/>
      <c r="C63" s="28" t="s">
        <v>117</v>
      </c>
      <c r="D63" s="29"/>
      <c r="E63" s="30" t="s">
        <v>95</v>
      </c>
      <c r="F63" s="31"/>
      <c r="G63" s="4">
        <v>3</v>
      </c>
      <c r="H63" s="4">
        <v>3</v>
      </c>
      <c r="I63" s="4">
        <v>3</v>
      </c>
      <c r="J63" s="4">
        <v>3</v>
      </c>
      <c r="K63" s="4">
        <v>3</v>
      </c>
      <c r="L63" s="4">
        <v>3</v>
      </c>
      <c r="M63" s="4">
        <v>3</v>
      </c>
      <c r="N63" s="4">
        <v>3</v>
      </c>
      <c r="O63" s="4">
        <v>3</v>
      </c>
      <c r="P63" s="4">
        <v>3</v>
      </c>
      <c r="Q63" s="5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</row>
    <row r="64" spans="1:30" x14ac:dyDescent="0.35">
      <c r="A64" s="38"/>
      <c r="B64" s="27"/>
      <c r="C64" s="28" t="s">
        <v>118</v>
      </c>
      <c r="D64" s="29"/>
      <c r="E64" s="30" t="s">
        <v>96</v>
      </c>
      <c r="F64" s="31"/>
      <c r="G64" s="4">
        <v>5</v>
      </c>
      <c r="H64" s="4">
        <v>5</v>
      </c>
      <c r="I64" s="4">
        <v>5</v>
      </c>
      <c r="J64" s="4">
        <v>5</v>
      </c>
      <c r="K64" s="4">
        <v>5</v>
      </c>
      <c r="L64" s="4">
        <v>5</v>
      </c>
      <c r="M64" s="4">
        <v>5</v>
      </c>
      <c r="N64" s="4">
        <v>5</v>
      </c>
      <c r="O64" s="4">
        <v>5</v>
      </c>
      <c r="P64" s="4">
        <v>5</v>
      </c>
      <c r="Q64" s="4">
        <v>5</v>
      </c>
      <c r="R64" s="4">
        <v>5</v>
      </c>
      <c r="S64" s="5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</row>
    <row r="65" spans="1:30" x14ac:dyDescent="0.35">
      <c r="A65" s="38"/>
      <c r="B65" s="27"/>
      <c r="C65" s="28" t="s">
        <v>119</v>
      </c>
      <c r="D65" s="29"/>
      <c r="E65" s="30" t="s">
        <v>95</v>
      </c>
      <c r="F65" s="31"/>
      <c r="G65" s="4">
        <v>3</v>
      </c>
      <c r="H65" s="4">
        <v>3</v>
      </c>
      <c r="I65" s="4">
        <v>3</v>
      </c>
      <c r="J65" s="4">
        <v>3</v>
      </c>
      <c r="K65" s="4">
        <v>3</v>
      </c>
      <c r="L65" s="4">
        <v>3</v>
      </c>
      <c r="M65" s="4">
        <v>3</v>
      </c>
      <c r="N65" s="4">
        <v>3</v>
      </c>
      <c r="O65" s="4">
        <v>3</v>
      </c>
      <c r="P65" s="4">
        <v>3</v>
      </c>
      <c r="Q65" s="4">
        <v>3</v>
      </c>
      <c r="R65" s="4">
        <v>3</v>
      </c>
      <c r="S65" s="4">
        <v>3</v>
      </c>
      <c r="T65" s="5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</row>
    <row r="66" spans="1:30" x14ac:dyDescent="0.35">
      <c r="A66" s="38"/>
      <c r="B66" s="27"/>
      <c r="C66" s="28" t="s">
        <v>120</v>
      </c>
      <c r="D66" s="29"/>
      <c r="E66" s="30" t="s">
        <v>96</v>
      </c>
      <c r="F66" s="31"/>
      <c r="G66" s="4">
        <v>3</v>
      </c>
      <c r="H66" s="4">
        <v>3</v>
      </c>
      <c r="I66" s="4">
        <v>3</v>
      </c>
      <c r="J66" s="4">
        <v>3</v>
      </c>
      <c r="K66" s="4">
        <v>3</v>
      </c>
      <c r="L66" s="4">
        <v>3</v>
      </c>
      <c r="M66" s="4">
        <v>3</v>
      </c>
      <c r="N66" s="4">
        <v>3</v>
      </c>
      <c r="O66" s="4">
        <v>3</v>
      </c>
      <c r="P66" s="4">
        <v>3</v>
      </c>
      <c r="Q66" s="4">
        <v>3</v>
      </c>
      <c r="R66" s="4">
        <v>3</v>
      </c>
      <c r="S66" s="4">
        <v>3</v>
      </c>
      <c r="T66" s="4">
        <v>3</v>
      </c>
      <c r="U66" s="4">
        <v>3</v>
      </c>
      <c r="V66" s="5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</row>
    <row r="67" spans="1:30" x14ac:dyDescent="0.35">
      <c r="A67" s="38"/>
      <c r="B67" s="27"/>
      <c r="C67" s="28" t="s">
        <v>121</v>
      </c>
      <c r="D67" s="29"/>
      <c r="E67" s="30" t="s">
        <v>95</v>
      </c>
      <c r="F67" s="31"/>
      <c r="G67" s="4">
        <v>3</v>
      </c>
      <c r="H67" s="4">
        <v>3</v>
      </c>
      <c r="I67" s="4">
        <v>3</v>
      </c>
      <c r="J67" s="4">
        <v>3</v>
      </c>
      <c r="K67" s="4">
        <v>3</v>
      </c>
      <c r="L67" s="4">
        <v>3</v>
      </c>
      <c r="M67" s="4">
        <v>3</v>
      </c>
      <c r="N67" s="4">
        <v>3</v>
      </c>
      <c r="O67" s="4">
        <v>3</v>
      </c>
      <c r="P67" s="4">
        <v>3</v>
      </c>
      <c r="Q67" s="4">
        <v>3</v>
      </c>
      <c r="R67" s="4">
        <v>3</v>
      </c>
      <c r="S67" s="4">
        <v>3</v>
      </c>
      <c r="T67" s="4">
        <v>3</v>
      </c>
      <c r="U67" s="4">
        <v>3</v>
      </c>
      <c r="V67" s="4">
        <v>3</v>
      </c>
      <c r="W67" s="5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</row>
    <row r="68" spans="1:30" x14ac:dyDescent="0.35">
      <c r="A68" s="38"/>
      <c r="B68" s="27"/>
      <c r="C68" s="28" t="s">
        <v>122</v>
      </c>
      <c r="D68" s="29"/>
      <c r="E68" s="30" t="s">
        <v>96</v>
      </c>
      <c r="F68" s="31"/>
      <c r="G68" s="4">
        <v>2</v>
      </c>
      <c r="H68" s="4">
        <v>2</v>
      </c>
      <c r="I68" s="4">
        <v>2</v>
      </c>
      <c r="J68" s="4">
        <v>2</v>
      </c>
      <c r="K68" s="4">
        <v>2</v>
      </c>
      <c r="L68" s="4">
        <v>2</v>
      </c>
      <c r="M68" s="4">
        <v>2</v>
      </c>
      <c r="N68" s="4">
        <v>2</v>
      </c>
      <c r="O68" s="4">
        <v>2</v>
      </c>
      <c r="P68" s="4">
        <v>2</v>
      </c>
      <c r="Q68" s="4">
        <v>2</v>
      </c>
      <c r="R68" s="4">
        <v>2</v>
      </c>
      <c r="S68" s="4">
        <v>2</v>
      </c>
      <c r="T68" s="4">
        <v>2</v>
      </c>
      <c r="U68" s="4">
        <v>2</v>
      </c>
      <c r="V68" s="4">
        <v>2</v>
      </c>
      <c r="W68" s="4">
        <v>2</v>
      </c>
      <c r="X68" s="5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</row>
    <row r="69" spans="1:30" x14ac:dyDescent="0.35">
      <c r="A69" s="38"/>
      <c r="B69" s="27"/>
      <c r="C69" s="28" t="s">
        <v>45</v>
      </c>
      <c r="D69" s="29"/>
      <c r="E69" s="30" t="s">
        <v>95</v>
      </c>
      <c r="F69" s="31"/>
      <c r="G69" s="4">
        <v>3</v>
      </c>
      <c r="H69" s="4">
        <v>3</v>
      </c>
      <c r="I69" s="4">
        <v>3</v>
      </c>
      <c r="J69" s="4">
        <v>3</v>
      </c>
      <c r="K69" s="4">
        <v>3</v>
      </c>
      <c r="L69" s="4">
        <v>3</v>
      </c>
      <c r="M69" s="4">
        <v>3</v>
      </c>
      <c r="N69" s="4">
        <v>3</v>
      </c>
      <c r="O69" s="4">
        <v>3</v>
      </c>
      <c r="P69" s="4">
        <v>3</v>
      </c>
      <c r="Q69" s="4">
        <v>3</v>
      </c>
      <c r="R69" s="4">
        <v>3</v>
      </c>
      <c r="S69" s="4">
        <v>3</v>
      </c>
      <c r="T69" s="4">
        <v>3</v>
      </c>
      <c r="U69" s="4">
        <v>3</v>
      </c>
      <c r="V69" s="4">
        <v>3</v>
      </c>
      <c r="W69" s="4">
        <v>3</v>
      </c>
      <c r="X69" s="4">
        <v>3</v>
      </c>
      <c r="Y69" s="4">
        <v>3</v>
      </c>
      <c r="Z69" s="5">
        <v>0</v>
      </c>
      <c r="AA69" s="4">
        <v>0</v>
      </c>
      <c r="AB69" s="4">
        <v>0</v>
      </c>
      <c r="AC69" s="4">
        <v>0</v>
      </c>
      <c r="AD69" s="4">
        <v>0</v>
      </c>
    </row>
    <row r="70" spans="1:30" x14ac:dyDescent="0.35">
      <c r="A70" s="38"/>
      <c r="B70" s="27"/>
      <c r="C70" s="28" t="s">
        <v>267</v>
      </c>
      <c r="D70" s="29"/>
      <c r="E70" s="30" t="s">
        <v>96</v>
      </c>
      <c r="F70" s="31"/>
      <c r="G70" s="4">
        <v>3</v>
      </c>
      <c r="H70" s="4">
        <v>3</v>
      </c>
      <c r="I70" s="4">
        <v>3</v>
      </c>
      <c r="J70" s="4">
        <v>3</v>
      </c>
      <c r="K70" s="4">
        <v>3</v>
      </c>
      <c r="L70" s="4">
        <v>3</v>
      </c>
      <c r="M70" s="4">
        <v>3</v>
      </c>
      <c r="N70" s="4">
        <v>3</v>
      </c>
      <c r="O70" s="4">
        <v>3</v>
      </c>
      <c r="P70" s="4">
        <v>3</v>
      </c>
      <c r="Q70" s="4">
        <v>3</v>
      </c>
      <c r="R70" s="4">
        <v>3</v>
      </c>
      <c r="S70" s="4">
        <v>3</v>
      </c>
      <c r="T70" s="4">
        <v>3</v>
      </c>
      <c r="U70" s="4">
        <v>3</v>
      </c>
      <c r="V70" s="4">
        <v>3</v>
      </c>
      <c r="W70" s="4">
        <v>3</v>
      </c>
      <c r="X70" s="4">
        <v>3</v>
      </c>
      <c r="Y70" s="4">
        <v>3</v>
      </c>
      <c r="Z70" s="4">
        <v>3</v>
      </c>
      <c r="AA70" s="5">
        <v>0</v>
      </c>
      <c r="AB70" s="4">
        <v>0</v>
      </c>
      <c r="AC70" s="4">
        <v>0</v>
      </c>
      <c r="AD70" s="4">
        <v>0</v>
      </c>
    </row>
    <row r="71" spans="1:30" x14ac:dyDescent="0.35">
      <c r="A71" s="38"/>
      <c r="B71" s="27"/>
      <c r="C71" s="28" t="s">
        <v>46</v>
      </c>
      <c r="D71" s="29"/>
      <c r="E71" s="30" t="s">
        <v>95</v>
      </c>
      <c r="F71" s="31"/>
      <c r="G71" s="4">
        <v>4</v>
      </c>
      <c r="H71" s="4">
        <v>4</v>
      </c>
      <c r="I71" s="4">
        <v>4</v>
      </c>
      <c r="J71" s="4">
        <v>4</v>
      </c>
      <c r="K71" s="4">
        <v>4</v>
      </c>
      <c r="L71" s="4">
        <v>4</v>
      </c>
      <c r="M71" s="4">
        <v>4</v>
      </c>
      <c r="N71" s="4">
        <v>4</v>
      </c>
      <c r="O71" s="4">
        <v>4</v>
      </c>
      <c r="P71" s="4">
        <v>4</v>
      </c>
      <c r="Q71" s="4">
        <v>4</v>
      </c>
      <c r="R71" s="4">
        <v>4</v>
      </c>
      <c r="S71" s="4">
        <v>4</v>
      </c>
      <c r="T71" s="4">
        <v>4</v>
      </c>
      <c r="U71" s="4">
        <v>4</v>
      </c>
      <c r="V71" s="4">
        <v>4</v>
      </c>
      <c r="W71" s="4">
        <v>4</v>
      </c>
      <c r="X71" s="4">
        <v>4</v>
      </c>
      <c r="Y71" s="4">
        <v>4</v>
      </c>
      <c r="Z71" s="4">
        <v>4</v>
      </c>
      <c r="AA71" s="4">
        <v>4</v>
      </c>
      <c r="AB71" s="5">
        <v>0</v>
      </c>
      <c r="AC71" s="4">
        <v>0</v>
      </c>
      <c r="AD71" s="4">
        <v>0</v>
      </c>
    </row>
    <row r="72" spans="1:30" x14ac:dyDescent="0.35">
      <c r="A72" s="38"/>
      <c r="B72" s="27"/>
      <c r="C72" s="28" t="s">
        <v>49</v>
      </c>
      <c r="D72" s="29"/>
      <c r="E72" s="30" t="s">
        <v>96</v>
      </c>
      <c r="F72" s="31"/>
      <c r="G72" s="4">
        <v>4</v>
      </c>
      <c r="H72" s="4">
        <v>4</v>
      </c>
      <c r="I72" s="4">
        <v>4</v>
      </c>
      <c r="J72" s="4">
        <v>4</v>
      </c>
      <c r="K72" s="4">
        <v>4</v>
      </c>
      <c r="L72" s="4">
        <v>4</v>
      </c>
      <c r="M72" s="4">
        <v>4</v>
      </c>
      <c r="N72" s="4">
        <v>4</v>
      </c>
      <c r="O72" s="4">
        <v>4</v>
      </c>
      <c r="P72" s="4">
        <v>4</v>
      </c>
      <c r="Q72" s="4">
        <v>4</v>
      </c>
      <c r="R72" s="4">
        <v>4</v>
      </c>
      <c r="S72" s="4">
        <v>4</v>
      </c>
      <c r="T72" s="4">
        <v>4</v>
      </c>
      <c r="U72" s="4">
        <v>4</v>
      </c>
      <c r="V72" s="4">
        <v>4</v>
      </c>
      <c r="W72" s="4">
        <v>4</v>
      </c>
      <c r="X72" s="4">
        <v>4</v>
      </c>
      <c r="Y72" s="4">
        <v>4</v>
      </c>
      <c r="Z72" s="4">
        <v>4</v>
      </c>
      <c r="AA72" s="4">
        <v>4</v>
      </c>
      <c r="AB72" s="4">
        <v>4</v>
      </c>
      <c r="AC72" s="5">
        <v>0</v>
      </c>
      <c r="AD72" s="4">
        <v>0</v>
      </c>
    </row>
    <row r="73" spans="1:30" x14ac:dyDescent="0.35">
      <c r="A73" s="38"/>
      <c r="B73" s="27" t="s">
        <v>123</v>
      </c>
      <c r="C73" s="28" t="s">
        <v>51</v>
      </c>
      <c r="D73" s="29"/>
      <c r="E73" s="30" t="s">
        <v>94</v>
      </c>
      <c r="F73" s="31"/>
      <c r="G73" s="4">
        <v>4</v>
      </c>
      <c r="H73" s="4">
        <v>4</v>
      </c>
      <c r="I73" s="4">
        <v>4</v>
      </c>
      <c r="J73" s="4">
        <v>4</v>
      </c>
      <c r="K73" s="4">
        <v>4</v>
      </c>
      <c r="L73" s="5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</row>
    <row r="74" spans="1:30" x14ac:dyDescent="0.35">
      <c r="A74" s="38"/>
      <c r="B74" s="27"/>
      <c r="C74" s="28" t="s">
        <v>188</v>
      </c>
      <c r="D74" s="29"/>
      <c r="E74" s="30" t="s">
        <v>103</v>
      </c>
      <c r="F74" s="31"/>
      <c r="G74" s="4">
        <v>2</v>
      </c>
      <c r="H74" s="4">
        <v>2</v>
      </c>
      <c r="I74" s="4">
        <v>2</v>
      </c>
      <c r="J74" s="4">
        <v>2</v>
      </c>
      <c r="K74" s="4">
        <v>2</v>
      </c>
      <c r="L74" s="5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</row>
    <row r="75" spans="1:30" x14ac:dyDescent="0.35">
      <c r="A75" s="38"/>
      <c r="B75" s="27"/>
      <c r="C75" s="28" t="s">
        <v>50</v>
      </c>
      <c r="D75" s="29"/>
      <c r="E75" s="30" t="s">
        <v>94</v>
      </c>
      <c r="F75" s="31"/>
      <c r="G75" s="4">
        <v>3</v>
      </c>
      <c r="H75" s="4">
        <v>3</v>
      </c>
      <c r="I75" s="4">
        <v>3</v>
      </c>
      <c r="J75" s="4">
        <v>3</v>
      </c>
      <c r="K75" s="4">
        <v>3</v>
      </c>
      <c r="L75" s="4">
        <v>3</v>
      </c>
      <c r="M75" s="5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</row>
    <row r="76" spans="1:30" x14ac:dyDescent="0.35">
      <c r="A76" s="38"/>
      <c r="B76" s="27"/>
      <c r="C76" s="28" t="s">
        <v>124</v>
      </c>
      <c r="D76" s="29"/>
      <c r="E76" s="30" t="s">
        <v>104</v>
      </c>
      <c r="F76" s="31"/>
      <c r="G76" s="4">
        <v>2</v>
      </c>
      <c r="H76" s="4">
        <v>2</v>
      </c>
      <c r="I76" s="4">
        <v>2</v>
      </c>
      <c r="J76" s="4">
        <v>2</v>
      </c>
      <c r="K76" s="4">
        <v>2</v>
      </c>
      <c r="L76" s="4">
        <v>2</v>
      </c>
      <c r="M76" s="5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</row>
    <row r="77" spans="1:30" x14ac:dyDescent="0.35">
      <c r="A77" s="38"/>
      <c r="B77" s="27"/>
      <c r="C77" s="28" t="s">
        <v>53</v>
      </c>
      <c r="D77" s="29"/>
      <c r="E77" s="30" t="s">
        <v>94</v>
      </c>
      <c r="F77" s="31"/>
      <c r="G77" s="4">
        <v>3</v>
      </c>
      <c r="H77" s="4">
        <v>3</v>
      </c>
      <c r="I77" s="4">
        <v>3</v>
      </c>
      <c r="J77" s="4">
        <v>3</v>
      </c>
      <c r="K77" s="4">
        <v>3</v>
      </c>
      <c r="L77" s="4">
        <v>3</v>
      </c>
      <c r="M77" s="4">
        <v>3</v>
      </c>
      <c r="N77" s="4">
        <v>3</v>
      </c>
      <c r="O77" s="5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</row>
    <row r="78" spans="1:30" x14ac:dyDescent="0.35">
      <c r="A78" s="38"/>
      <c r="B78" s="27"/>
      <c r="C78" s="28" t="s">
        <v>52</v>
      </c>
      <c r="D78" s="29"/>
      <c r="E78" s="30" t="s">
        <v>103</v>
      </c>
      <c r="F78" s="31"/>
      <c r="G78" s="4">
        <v>2</v>
      </c>
      <c r="H78" s="4">
        <v>2</v>
      </c>
      <c r="I78" s="4">
        <v>2</v>
      </c>
      <c r="J78" s="4">
        <v>2</v>
      </c>
      <c r="K78" s="4">
        <v>2</v>
      </c>
      <c r="L78" s="4">
        <v>2</v>
      </c>
      <c r="M78" s="4">
        <v>2</v>
      </c>
      <c r="N78" s="4">
        <v>2</v>
      </c>
      <c r="O78" s="5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</row>
    <row r="79" spans="1:30" x14ac:dyDescent="0.35">
      <c r="A79" s="38"/>
      <c r="B79" s="27"/>
      <c r="C79" s="28" t="s">
        <v>125</v>
      </c>
      <c r="D79" s="29"/>
      <c r="E79" s="30" t="s">
        <v>94</v>
      </c>
      <c r="F79" s="31"/>
      <c r="G79" s="4">
        <v>3</v>
      </c>
      <c r="H79" s="4">
        <v>3</v>
      </c>
      <c r="I79" s="4">
        <v>3</v>
      </c>
      <c r="J79" s="4">
        <v>3</v>
      </c>
      <c r="K79" s="4">
        <v>3</v>
      </c>
      <c r="L79" s="4">
        <v>3</v>
      </c>
      <c r="M79" s="4">
        <v>3</v>
      </c>
      <c r="N79" s="4">
        <v>3</v>
      </c>
      <c r="O79" s="4">
        <v>3</v>
      </c>
      <c r="P79" s="4">
        <v>3</v>
      </c>
      <c r="Q79" s="5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</row>
    <row r="80" spans="1:30" x14ac:dyDescent="0.35">
      <c r="A80" s="38"/>
      <c r="B80" s="27"/>
      <c r="C80" s="28" t="s">
        <v>126</v>
      </c>
      <c r="D80" s="29"/>
      <c r="E80" s="30" t="s">
        <v>104</v>
      </c>
      <c r="F80" s="31"/>
      <c r="G80" s="4">
        <v>2</v>
      </c>
      <c r="H80" s="4">
        <v>2</v>
      </c>
      <c r="I80" s="4">
        <v>2</v>
      </c>
      <c r="J80" s="4">
        <v>2</v>
      </c>
      <c r="K80" s="4">
        <v>2</v>
      </c>
      <c r="L80" s="4">
        <v>2</v>
      </c>
      <c r="M80" s="4">
        <v>2</v>
      </c>
      <c r="N80" s="4">
        <v>2</v>
      </c>
      <c r="O80" s="4">
        <v>2</v>
      </c>
      <c r="P80" s="4">
        <v>2</v>
      </c>
      <c r="Q80" s="5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</row>
    <row r="81" spans="1:30" x14ac:dyDescent="0.35">
      <c r="A81" s="38"/>
      <c r="B81" s="27"/>
      <c r="C81" s="28" t="s">
        <v>127</v>
      </c>
      <c r="D81" s="29"/>
      <c r="E81" s="30" t="s">
        <v>94</v>
      </c>
      <c r="F81" s="31"/>
      <c r="G81" s="4">
        <v>5</v>
      </c>
      <c r="H81" s="4">
        <v>5</v>
      </c>
      <c r="I81" s="4">
        <v>5</v>
      </c>
      <c r="J81" s="4">
        <v>5</v>
      </c>
      <c r="K81" s="4">
        <v>5</v>
      </c>
      <c r="L81" s="4">
        <v>5</v>
      </c>
      <c r="M81" s="4">
        <v>5</v>
      </c>
      <c r="N81" s="4">
        <v>5</v>
      </c>
      <c r="O81" s="4">
        <v>5</v>
      </c>
      <c r="P81" s="4">
        <v>5</v>
      </c>
      <c r="Q81" s="4">
        <v>5</v>
      </c>
      <c r="R81" s="4">
        <v>5</v>
      </c>
      <c r="S81" s="4">
        <v>5</v>
      </c>
      <c r="T81" s="5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</row>
    <row r="82" spans="1:30" x14ac:dyDescent="0.35">
      <c r="A82" s="38"/>
      <c r="B82" s="27"/>
      <c r="C82" s="28" t="s">
        <v>128</v>
      </c>
      <c r="D82" s="29"/>
      <c r="E82" s="30" t="s">
        <v>103</v>
      </c>
      <c r="F82" s="31"/>
      <c r="G82" s="4">
        <v>3</v>
      </c>
      <c r="H82" s="4">
        <v>3</v>
      </c>
      <c r="I82" s="4">
        <v>3</v>
      </c>
      <c r="J82" s="4">
        <v>3</v>
      </c>
      <c r="K82" s="4">
        <v>3</v>
      </c>
      <c r="L82" s="4">
        <v>3</v>
      </c>
      <c r="M82" s="4">
        <v>3</v>
      </c>
      <c r="N82" s="4">
        <v>3</v>
      </c>
      <c r="O82" s="4">
        <v>3</v>
      </c>
      <c r="P82" s="4">
        <v>3</v>
      </c>
      <c r="Q82" s="4">
        <v>3</v>
      </c>
      <c r="R82" s="4">
        <v>3</v>
      </c>
      <c r="S82" s="4">
        <v>3</v>
      </c>
      <c r="T82" s="5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</row>
    <row r="83" spans="1:30" x14ac:dyDescent="0.35">
      <c r="A83" s="38"/>
      <c r="B83" s="27"/>
      <c r="C83" s="28" t="s">
        <v>129</v>
      </c>
      <c r="D83" s="29"/>
      <c r="E83" s="30" t="s">
        <v>94</v>
      </c>
      <c r="F83" s="31"/>
      <c r="G83" s="4">
        <v>4</v>
      </c>
      <c r="H83" s="4">
        <v>4</v>
      </c>
      <c r="I83" s="4">
        <v>4</v>
      </c>
      <c r="J83" s="4">
        <v>4</v>
      </c>
      <c r="K83" s="4">
        <v>4</v>
      </c>
      <c r="L83" s="4">
        <v>4</v>
      </c>
      <c r="M83" s="4">
        <v>4</v>
      </c>
      <c r="N83" s="4">
        <v>4</v>
      </c>
      <c r="O83" s="4">
        <v>4</v>
      </c>
      <c r="P83" s="4">
        <v>4</v>
      </c>
      <c r="Q83" s="4">
        <v>4</v>
      </c>
      <c r="R83" s="4">
        <v>4</v>
      </c>
      <c r="S83" s="4">
        <v>4</v>
      </c>
      <c r="T83" s="4">
        <v>4</v>
      </c>
      <c r="U83" s="5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</row>
    <row r="84" spans="1:30" x14ac:dyDescent="0.35">
      <c r="A84" s="38"/>
      <c r="B84" s="27"/>
      <c r="C84" s="28" t="s">
        <v>130</v>
      </c>
      <c r="D84" s="29"/>
      <c r="E84" s="30" t="s">
        <v>104</v>
      </c>
      <c r="F84" s="31"/>
      <c r="G84" s="4">
        <v>2</v>
      </c>
      <c r="H84" s="4">
        <v>2</v>
      </c>
      <c r="I84" s="4">
        <v>2</v>
      </c>
      <c r="J84" s="4">
        <v>2</v>
      </c>
      <c r="K84" s="4">
        <v>2</v>
      </c>
      <c r="L84" s="4">
        <v>2</v>
      </c>
      <c r="M84" s="4">
        <v>2</v>
      </c>
      <c r="N84" s="4">
        <v>2</v>
      </c>
      <c r="O84" s="4">
        <v>2</v>
      </c>
      <c r="P84" s="4">
        <v>2</v>
      </c>
      <c r="Q84" s="4">
        <v>2</v>
      </c>
      <c r="R84" s="4">
        <v>2</v>
      </c>
      <c r="S84" s="4">
        <v>2</v>
      </c>
      <c r="T84" s="4">
        <v>2</v>
      </c>
      <c r="U84" s="5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</row>
    <row r="85" spans="1:30" x14ac:dyDescent="0.35">
      <c r="A85" s="38"/>
      <c r="B85" s="27"/>
      <c r="C85" s="28" t="s">
        <v>131</v>
      </c>
      <c r="D85" s="29"/>
      <c r="E85" s="30" t="s">
        <v>94</v>
      </c>
      <c r="F85" s="31"/>
      <c r="G85" s="4">
        <v>2</v>
      </c>
      <c r="H85" s="4">
        <v>2</v>
      </c>
      <c r="I85" s="4">
        <v>2</v>
      </c>
      <c r="J85" s="4">
        <v>2</v>
      </c>
      <c r="K85" s="4">
        <v>2</v>
      </c>
      <c r="L85" s="4">
        <v>2</v>
      </c>
      <c r="M85" s="4">
        <v>2</v>
      </c>
      <c r="N85" s="4">
        <v>2</v>
      </c>
      <c r="O85" s="4">
        <v>2</v>
      </c>
      <c r="P85" s="4">
        <v>2</v>
      </c>
      <c r="Q85" s="4">
        <v>2</v>
      </c>
      <c r="R85" s="4">
        <v>2</v>
      </c>
      <c r="S85" s="4">
        <v>2</v>
      </c>
      <c r="T85" s="4">
        <v>2</v>
      </c>
      <c r="U85" s="4">
        <v>2</v>
      </c>
      <c r="V85" s="5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</row>
    <row r="86" spans="1:30" x14ac:dyDescent="0.35">
      <c r="A86" s="38"/>
      <c r="B86" s="27"/>
      <c r="C86" s="28" t="s">
        <v>132</v>
      </c>
      <c r="D86" s="29"/>
      <c r="E86" s="30" t="s">
        <v>103</v>
      </c>
      <c r="F86" s="31"/>
      <c r="G86" s="4">
        <v>2</v>
      </c>
      <c r="H86" s="4">
        <v>2</v>
      </c>
      <c r="I86" s="4">
        <v>2</v>
      </c>
      <c r="J86" s="4">
        <v>2</v>
      </c>
      <c r="K86" s="4">
        <v>2</v>
      </c>
      <c r="L86" s="4">
        <v>2</v>
      </c>
      <c r="M86" s="4">
        <v>2</v>
      </c>
      <c r="N86" s="4">
        <v>2</v>
      </c>
      <c r="O86" s="4">
        <v>2</v>
      </c>
      <c r="P86" s="4">
        <v>2</v>
      </c>
      <c r="Q86" s="4">
        <v>2</v>
      </c>
      <c r="R86" s="4">
        <v>2</v>
      </c>
      <c r="S86" s="4">
        <v>2</v>
      </c>
      <c r="T86" s="4">
        <v>2</v>
      </c>
      <c r="U86" s="4">
        <v>2</v>
      </c>
      <c r="V86" s="5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</row>
    <row r="87" spans="1:30" x14ac:dyDescent="0.35">
      <c r="A87" s="38"/>
      <c r="B87" s="27"/>
      <c r="C87" s="28" t="s">
        <v>133</v>
      </c>
      <c r="D87" s="29"/>
      <c r="E87" s="30" t="s">
        <v>94</v>
      </c>
      <c r="F87" s="31"/>
      <c r="G87" s="4">
        <v>3</v>
      </c>
      <c r="H87" s="4">
        <v>3</v>
      </c>
      <c r="I87" s="4">
        <v>3</v>
      </c>
      <c r="J87" s="4">
        <v>3</v>
      </c>
      <c r="K87" s="4">
        <v>3</v>
      </c>
      <c r="L87" s="4">
        <v>3</v>
      </c>
      <c r="M87" s="4">
        <v>3</v>
      </c>
      <c r="N87" s="4">
        <v>3</v>
      </c>
      <c r="O87" s="4">
        <v>3</v>
      </c>
      <c r="P87" s="4">
        <v>3</v>
      </c>
      <c r="Q87" s="4">
        <v>3</v>
      </c>
      <c r="R87" s="4">
        <v>3</v>
      </c>
      <c r="S87" s="4">
        <v>3</v>
      </c>
      <c r="T87" s="4">
        <v>3</v>
      </c>
      <c r="U87" s="4">
        <v>3</v>
      </c>
      <c r="V87" s="4">
        <v>3</v>
      </c>
      <c r="W87" s="5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</row>
    <row r="88" spans="1:30" x14ac:dyDescent="0.35">
      <c r="A88" s="38"/>
      <c r="B88" s="27"/>
      <c r="C88" s="28" t="s">
        <v>134</v>
      </c>
      <c r="D88" s="29"/>
      <c r="E88" s="30" t="s">
        <v>104</v>
      </c>
      <c r="F88" s="31"/>
      <c r="G88" s="4">
        <v>2</v>
      </c>
      <c r="H88" s="4">
        <v>2</v>
      </c>
      <c r="I88" s="4">
        <v>2</v>
      </c>
      <c r="J88" s="4">
        <v>2</v>
      </c>
      <c r="K88" s="4">
        <v>2</v>
      </c>
      <c r="L88" s="4">
        <v>2</v>
      </c>
      <c r="M88" s="4">
        <v>2</v>
      </c>
      <c r="N88" s="4">
        <v>2</v>
      </c>
      <c r="O88" s="4">
        <v>2</v>
      </c>
      <c r="P88" s="4">
        <v>2</v>
      </c>
      <c r="Q88" s="4">
        <v>2</v>
      </c>
      <c r="R88" s="4">
        <v>2</v>
      </c>
      <c r="S88" s="4">
        <v>2</v>
      </c>
      <c r="T88" s="4">
        <v>2</v>
      </c>
      <c r="U88" s="4">
        <v>2</v>
      </c>
      <c r="V88" s="4">
        <v>2</v>
      </c>
      <c r="W88" s="5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</row>
    <row r="89" spans="1:30" x14ac:dyDescent="0.35">
      <c r="A89" s="38"/>
      <c r="B89" s="27"/>
      <c r="C89" s="28" t="s">
        <v>135</v>
      </c>
      <c r="D89" s="29"/>
      <c r="E89" s="30" t="s">
        <v>94</v>
      </c>
      <c r="F89" s="31"/>
      <c r="G89" s="4">
        <v>3</v>
      </c>
      <c r="H89" s="4">
        <v>3</v>
      </c>
      <c r="I89" s="4">
        <v>3</v>
      </c>
      <c r="J89" s="4">
        <v>3</v>
      </c>
      <c r="K89" s="4">
        <v>3</v>
      </c>
      <c r="L89" s="4">
        <v>3</v>
      </c>
      <c r="M89" s="4">
        <v>3</v>
      </c>
      <c r="N89" s="4">
        <v>3</v>
      </c>
      <c r="O89" s="4">
        <v>3</v>
      </c>
      <c r="P89" s="4">
        <v>3</v>
      </c>
      <c r="Q89" s="4">
        <v>3</v>
      </c>
      <c r="R89" s="4">
        <v>3</v>
      </c>
      <c r="S89" s="4">
        <v>3</v>
      </c>
      <c r="T89" s="4">
        <v>3</v>
      </c>
      <c r="U89" s="4">
        <v>3</v>
      </c>
      <c r="V89" s="4">
        <v>3</v>
      </c>
      <c r="W89" s="4">
        <v>3</v>
      </c>
      <c r="X89" s="5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</row>
    <row r="90" spans="1:30" x14ac:dyDescent="0.35">
      <c r="A90" s="38"/>
      <c r="B90" s="27"/>
      <c r="C90" s="28" t="s">
        <v>136</v>
      </c>
      <c r="D90" s="29"/>
      <c r="E90" s="30" t="s">
        <v>103</v>
      </c>
      <c r="F90" s="31"/>
      <c r="G90" s="4">
        <v>2</v>
      </c>
      <c r="H90" s="4">
        <v>2</v>
      </c>
      <c r="I90" s="4">
        <v>2</v>
      </c>
      <c r="J90" s="4">
        <v>2</v>
      </c>
      <c r="K90" s="4">
        <v>2</v>
      </c>
      <c r="L90" s="4">
        <v>2</v>
      </c>
      <c r="M90" s="4">
        <v>2</v>
      </c>
      <c r="N90" s="4">
        <v>2</v>
      </c>
      <c r="O90" s="4">
        <v>2</v>
      </c>
      <c r="P90" s="4">
        <v>2</v>
      </c>
      <c r="Q90" s="4">
        <v>2</v>
      </c>
      <c r="R90" s="4">
        <v>2</v>
      </c>
      <c r="S90" s="4">
        <v>2</v>
      </c>
      <c r="T90" s="4">
        <v>2</v>
      </c>
      <c r="U90" s="4">
        <v>2</v>
      </c>
      <c r="V90" s="4">
        <v>2</v>
      </c>
      <c r="W90" s="4">
        <v>2</v>
      </c>
      <c r="X90" s="5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</row>
    <row r="91" spans="1:30" x14ac:dyDescent="0.35">
      <c r="A91" s="38"/>
      <c r="B91" s="27"/>
      <c r="C91" s="28" t="s">
        <v>57</v>
      </c>
      <c r="D91" s="29"/>
      <c r="E91" s="30" t="s">
        <v>94</v>
      </c>
      <c r="F91" s="31"/>
      <c r="G91" s="4">
        <v>3</v>
      </c>
      <c r="H91" s="4">
        <v>3</v>
      </c>
      <c r="I91" s="4">
        <v>3</v>
      </c>
      <c r="J91" s="4">
        <v>3</v>
      </c>
      <c r="K91" s="4">
        <v>3</v>
      </c>
      <c r="L91" s="4">
        <v>3</v>
      </c>
      <c r="M91" s="4">
        <v>3</v>
      </c>
      <c r="N91" s="4">
        <v>3</v>
      </c>
      <c r="O91" s="4">
        <v>3</v>
      </c>
      <c r="P91" s="4">
        <v>3</v>
      </c>
      <c r="Q91" s="4">
        <v>3</v>
      </c>
      <c r="R91" s="4">
        <v>3</v>
      </c>
      <c r="S91" s="4">
        <v>3</v>
      </c>
      <c r="T91" s="4">
        <v>3</v>
      </c>
      <c r="U91" s="4">
        <v>3</v>
      </c>
      <c r="V91" s="4">
        <v>3</v>
      </c>
      <c r="W91" s="4">
        <v>3</v>
      </c>
      <c r="X91" s="4">
        <v>3</v>
      </c>
      <c r="Y91" s="4">
        <v>3</v>
      </c>
      <c r="Z91" s="5">
        <v>0</v>
      </c>
      <c r="AA91" s="4">
        <v>0</v>
      </c>
      <c r="AB91" s="4">
        <v>0</v>
      </c>
      <c r="AC91" s="4">
        <v>0</v>
      </c>
      <c r="AD91" s="4">
        <v>0</v>
      </c>
    </row>
    <row r="92" spans="1:30" x14ac:dyDescent="0.35">
      <c r="A92" s="38"/>
      <c r="B92" s="27"/>
      <c r="C92" s="28" t="s">
        <v>137</v>
      </c>
      <c r="D92" s="29"/>
      <c r="E92" s="30" t="s">
        <v>104</v>
      </c>
      <c r="F92" s="31"/>
      <c r="G92" s="4">
        <v>2</v>
      </c>
      <c r="H92" s="4">
        <v>2</v>
      </c>
      <c r="I92" s="4">
        <v>2</v>
      </c>
      <c r="J92" s="4">
        <v>2</v>
      </c>
      <c r="K92" s="4">
        <v>2</v>
      </c>
      <c r="L92" s="4">
        <v>2</v>
      </c>
      <c r="M92" s="4">
        <v>2</v>
      </c>
      <c r="N92" s="4">
        <v>2</v>
      </c>
      <c r="O92" s="4">
        <v>2</v>
      </c>
      <c r="P92" s="4">
        <v>2</v>
      </c>
      <c r="Q92" s="4">
        <v>2</v>
      </c>
      <c r="R92" s="4">
        <v>2</v>
      </c>
      <c r="S92" s="4">
        <v>2</v>
      </c>
      <c r="T92" s="4">
        <v>2</v>
      </c>
      <c r="U92" s="4">
        <v>2</v>
      </c>
      <c r="V92" s="4">
        <v>2</v>
      </c>
      <c r="W92" s="4">
        <v>2</v>
      </c>
      <c r="X92" s="4">
        <v>2</v>
      </c>
      <c r="Y92" s="4">
        <v>2</v>
      </c>
      <c r="Z92" s="5">
        <v>0</v>
      </c>
      <c r="AA92" s="4">
        <v>0</v>
      </c>
      <c r="AB92" s="4">
        <v>0</v>
      </c>
      <c r="AC92" s="4">
        <v>0</v>
      </c>
      <c r="AD92" s="4">
        <v>0</v>
      </c>
    </row>
    <row r="93" spans="1:30" x14ac:dyDescent="0.35">
      <c r="A93" s="38"/>
      <c r="B93" s="27"/>
      <c r="C93" s="28" t="s">
        <v>268</v>
      </c>
      <c r="D93" s="29"/>
      <c r="E93" s="30" t="s">
        <v>94</v>
      </c>
      <c r="F93" s="31"/>
      <c r="G93" s="4">
        <v>3</v>
      </c>
      <c r="H93" s="4">
        <v>3</v>
      </c>
      <c r="I93" s="4">
        <v>3</v>
      </c>
      <c r="J93" s="4">
        <v>3</v>
      </c>
      <c r="K93" s="4">
        <v>3</v>
      </c>
      <c r="L93" s="4">
        <v>3</v>
      </c>
      <c r="M93" s="4">
        <v>3</v>
      </c>
      <c r="N93" s="4">
        <v>3</v>
      </c>
      <c r="O93" s="4">
        <v>3</v>
      </c>
      <c r="P93" s="4">
        <v>3</v>
      </c>
      <c r="Q93" s="4">
        <v>3</v>
      </c>
      <c r="R93" s="4">
        <v>3</v>
      </c>
      <c r="S93" s="4">
        <v>3</v>
      </c>
      <c r="T93" s="4">
        <v>3</v>
      </c>
      <c r="U93" s="4">
        <v>3</v>
      </c>
      <c r="V93" s="4">
        <v>3</v>
      </c>
      <c r="W93" s="4">
        <v>3</v>
      </c>
      <c r="X93" s="4">
        <v>3</v>
      </c>
      <c r="Y93" s="4">
        <v>3</v>
      </c>
      <c r="Z93" s="4">
        <v>3</v>
      </c>
      <c r="AA93" s="4">
        <v>3</v>
      </c>
      <c r="AB93" s="5">
        <v>0</v>
      </c>
      <c r="AC93" s="4">
        <v>0</v>
      </c>
      <c r="AD93" s="4">
        <v>0</v>
      </c>
    </row>
    <row r="94" spans="1:30" x14ac:dyDescent="0.35">
      <c r="A94" s="38"/>
      <c r="B94" s="27"/>
      <c r="C94" s="28" t="s">
        <v>269</v>
      </c>
      <c r="D94" s="29"/>
      <c r="E94" s="30" t="s">
        <v>103</v>
      </c>
      <c r="F94" s="31"/>
      <c r="G94" s="4">
        <v>2</v>
      </c>
      <c r="H94" s="4">
        <v>2</v>
      </c>
      <c r="I94" s="4">
        <v>2</v>
      </c>
      <c r="J94" s="4">
        <v>2</v>
      </c>
      <c r="K94" s="4">
        <v>2</v>
      </c>
      <c r="L94" s="4">
        <v>2</v>
      </c>
      <c r="M94" s="4">
        <v>2</v>
      </c>
      <c r="N94" s="4">
        <v>2</v>
      </c>
      <c r="O94" s="4">
        <v>2</v>
      </c>
      <c r="P94" s="4">
        <v>2</v>
      </c>
      <c r="Q94" s="4">
        <v>2</v>
      </c>
      <c r="R94" s="4">
        <v>2</v>
      </c>
      <c r="S94" s="4">
        <v>2</v>
      </c>
      <c r="T94" s="4">
        <v>2</v>
      </c>
      <c r="U94" s="4">
        <v>2</v>
      </c>
      <c r="V94" s="4">
        <v>2</v>
      </c>
      <c r="W94" s="4">
        <v>2</v>
      </c>
      <c r="X94" s="4">
        <v>2</v>
      </c>
      <c r="Y94" s="4">
        <v>2</v>
      </c>
      <c r="Z94" s="4">
        <v>2</v>
      </c>
      <c r="AA94" s="4">
        <v>2</v>
      </c>
      <c r="AB94" s="5">
        <v>0</v>
      </c>
      <c r="AC94" s="4">
        <v>0</v>
      </c>
      <c r="AD94" s="4">
        <v>0</v>
      </c>
    </row>
    <row r="95" spans="1:30" x14ac:dyDescent="0.35">
      <c r="A95" s="38"/>
      <c r="B95" s="27"/>
      <c r="C95" s="28" t="s">
        <v>58</v>
      </c>
      <c r="D95" s="29"/>
      <c r="E95" s="30" t="s">
        <v>94</v>
      </c>
      <c r="F95" s="31"/>
      <c r="G95" s="4">
        <v>3</v>
      </c>
      <c r="H95" s="4">
        <v>3</v>
      </c>
      <c r="I95" s="4">
        <v>3</v>
      </c>
      <c r="J95" s="4">
        <v>3</v>
      </c>
      <c r="K95" s="4">
        <v>3</v>
      </c>
      <c r="L95" s="4">
        <v>3</v>
      </c>
      <c r="M95" s="4">
        <v>3</v>
      </c>
      <c r="N95" s="4">
        <v>3</v>
      </c>
      <c r="O95" s="4">
        <v>3</v>
      </c>
      <c r="P95" s="4">
        <v>3</v>
      </c>
      <c r="Q95" s="4">
        <v>3</v>
      </c>
      <c r="R95" s="4">
        <v>3</v>
      </c>
      <c r="S95" s="4">
        <v>3</v>
      </c>
      <c r="T95" s="4">
        <v>3</v>
      </c>
      <c r="U95" s="4">
        <v>3</v>
      </c>
      <c r="V95" s="4">
        <v>3</v>
      </c>
      <c r="W95" s="4">
        <v>3</v>
      </c>
      <c r="X95" s="4">
        <v>3</v>
      </c>
      <c r="Y95" s="4">
        <v>3</v>
      </c>
      <c r="Z95" s="4">
        <v>3</v>
      </c>
      <c r="AA95" s="4">
        <v>3</v>
      </c>
      <c r="AB95" s="4">
        <v>3</v>
      </c>
      <c r="AC95" s="5">
        <v>0</v>
      </c>
      <c r="AD95" s="4">
        <v>0</v>
      </c>
    </row>
    <row r="96" spans="1:30" x14ac:dyDescent="0.35">
      <c r="A96" s="38"/>
      <c r="B96" s="27"/>
      <c r="C96" s="28" t="s">
        <v>138</v>
      </c>
      <c r="D96" s="29"/>
      <c r="E96" s="30" t="s">
        <v>104</v>
      </c>
      <c r="F96" s="31"/>
      <c r="G96" s="4">
        <v>2</v>
      </c>
      <c r="H96" s="4">
        <v>2</v>
      </c>
      <c r="I96" s="4">
        <v>2</v>
      </c>
      <c r="J96" s="4">
        <v>2</v>
      </c>
      <c r="K96" s="4">
        <v>2</v>
      </c>
      <c r="L96" s="4">
        <v>2</v>
      </c>
      <c r="M96" s="4">
        <v>2</v>
      </c>
      <c r="N96" s="4">
        <v>2</v>
      </c>
      <c r="O96" s="4">
        <v>2</v>
      </c>
      <c r="P96" s="4">
        <v>2</v>
      </c>
      <c r="Q96" s="4">
        <v>2</v>
      </c>
      <c r="R96" s="4">
        <v>2</v>
      </c>
      <c r="S96" s="4">
        <v>2</v>
      </c>
      <c r="T96" s="4">
        <v>2</v>
      </c>
      <c r="U96" s="4">
        <v>2</v>
      </c>
      <c r="V96" s="4">
        <v>2</v>
      </c>
      <c r="W96" s="4">
        <v>2</v>
      </c>
      <c r="X96" s="4">
        <v>2</v>
      </c>
      <c r="Y96" s="4">
        <v>2</v>
      </c>
      <c r="Z96" s="4">
        <v>2</v>
      </c>
      <c r="AA96" s="4">
        <v>2</v>
      </c>
      <c r="AB96" s="4">
        <v>2</v>
      </c>
      <c r="AC96" s="5">
        <v>0</v>
      </c>
      <c r="AD96" s="4">
        <v>0</v>
      </c>
    </row>
    <row r="97" spans="1:30" x14ac:dyDescent="0.35">
      <c r="A97" s="38"/>
      <c r="B97" s="27"/>
      <c r="C97" s="28" t="s">
        <v>61</v>
      </c>
      <c r="D97" s="29"/>
      <c r="E97" s="30" t="s">
        <v>94</v>
      </c>
      <c r="F97" s="31"/>
      <c r="G97" s="4">
        <v>3</v>
      </c>
      <c r="H97" s="4">
        <v>3</v>
      </c>
      <c r="I97" s="4">
        <v>3</v>
      </c>
      <c r="J97" s="4">
        <v>3</v>
      </c>
      <c r="K97" s="4">
        <v>3</v>
      </c>
      <c r="L97" s="4">
        <v>3</v>
      </c>
      <c r="M97" s="4">
        <v>3</v>
      </c>
      <c r="N97" s="4">
        <v>3</v>
      </c>
      <c r="O97" s="4">
        <v>3</v>
      </c>
      <c r="P97" s="4">
        <v>3</v>
      </c>
      <c r="Q97" s="4">
        <v>3</v>
      </c>
      <c r="R97" s="4">
        <v>3</v>
      </c>
      <c r="S97" s="4">
        <v>3</v>
      </c>
      <c r="T97" s="4">
        <v>3</v>
      </c>
      <c r="U97" s="4">
        <v>3</v>
      </c>
      <c r="V97" s="4">
        <v>3</v>
      </c>
      <c r="W97" s="4">
        <v>3</v>
      </c>
      <c r="X97" s="4">
        <v>3</v>
      </c>
      <c r="Y97" s="4">
        <v>3</v>
      </c>
      <c r="Z97" s="4">
        <v>3</v>
      </c>
      <c r="AA97" s="4">
        <v>3</v>
      </c>
      <c r="AB97" s="4">
        <v>3</v>
      </c>
      <c r="AC97" s="5">
        <v>0</v>
      </c>
      <c r="AD97" s="4">
        <v>0</v>
      </c>
    </row>
    <row r="98" spans="1:30" x14ac:dyDescent="0.35">
      <c r="A98" s="38"/>
      <c r="B98" s="27"/>
      <c r="C98" s="28" t="s">
        <v>139</v>
      </c>
      <c r="D98" s="29"/>
      <c r="E98" s="30" t="s">
        <v>103</v>
      </c>
      <c r="F98" s="31"/>
      <c r="G98" s="4">
        <v>2</v>
      </c>
      <c r="H98" s="4">
        <v>2</v>
      </c>
      <c r="I98" s="4">
        <v>2</v>
      </c>
      <c r="J98" s="4">
        <v>2</v>
      </c>
      <c r="K98" s="4">
        <v>2</v>
      </c>
      <c r="L98" s="4">
        <v>2</v>
      </c>
      <c r="M98" s="4">
        <v>2</v>
      </c>
      <c r="N98" s="4">
        <v>2</v>
      </c>
      <c r="O98" s="4">
        <v>2</v>
      </c>
      <c r="P98" s="4">
        <v>2</v>
      </c>
      <c r="Q98" s="4">
        <v>2</v>
      </c>
      <c r="R98" s="4">
        <v>2</v>
      </c>
      <c r="S98" s="4">
        <v>2</v>
      </c>
      <c r="T98" s="4">
        <v>2</v>
      </c>
      <c r="U98" s="4">
        <v>2</v>
      </c>
      <c r="V98" s="4">
        <v>2</v>
      </c>
      <c r="W98" s="4">
        <v>2</v>
      </c>
      <c r="X98" s="4">
        <v>2</v>
      </c>
      <c r="Y98" s="4">
        <v>2</v>
      </c>
      <c r="Z98" s="4">
        <v>2</v>
      </c>
      <c r="AA98" s="4">
        <v>2</v>
      </c>
      <c r="AB98" s="4">
        <v>2</v>
      </c>
      <c r="AC98" s="5">
        <v>0</v>
      </c>
      <c r="AD98" s="4">
        <v>0</v>
      </c>
    </row>
    <row r="99" spans="1:30" x14ac:dyDescent="0.35">
      <c r="A99" s="38"/>
      <c r="B99" s="27" t="s">
        <v>16</v>
      </c>
      <c r="C99" s="28" t="s">
        <v>63</v>
      </c>
      <c r="D99" s="29"/>
      <c r="E99" s="30" t="s">
        <v>96</v>
      </c>
      <c r="F99" s="31"/>
      <c r="G99" s="4">
        <v>2</v>
      </c>
      <c r="H99" s="4">
        <v>2</v>
      </c>
      <c r="I99" s="4">
        <v>2</v>
      </c>
      <c r="J99" s="4">
        <v>2</v>
      </c>
      <c r="K99" s="4">
        <v>2</v>
      </c>
      <c r="L99" s="4">
        <v>2</v>
      </c>
      <c r="M99" s="5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</row>
    <row r="100" spans="1:30" x14ac:dyDescent="0.35">
      <c r="A100" s="38"/>
      <c r="B100" s="27"/>
      <c r="C100" s="28" t="s">
        <v>62</v>
      </c>
      <c r="D100" s="29"/>
      <c r="E100" s="30" t="s">
        <v>95</v>
      </c>
      <c r="F100" s="31"/>
      <c r="G100" s="4">
        <v>2</v>
      </c>
      <c r="H100" s="4">
        <v>2</v>
      </c>
      <c r="I100" s="4">
        <v>2</v>
      </c>
      <c r="J100" s="4">
        <v>2</v>
      </c>
      <c r="K100" s="4">
        <v>2</v>
      </c>
      <c r="L100" s="4">
        <v>2</v>
      </c>
      <c r="M100" s="5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</row>
    <row r="101" spans="1:30" x14ac:dyDescent="0.35">
      <c r="A101" s="38"/>
      <c r="B101" s="27"/>
      <c r="C101" s="28" t="s">
        <v>64</v>
      </c>
      <c r="D101" s="29"/>
      <c r="E101" s="30" t="s">
        <v>96</v>
      </c>
      <c r="F101" s="31"/>
      <c r="G101" s="4">
        <v>2</v>
      </c>
      <c r="H101" s="4">
        <v>2</v>
      </c>
      <c r="I101" s="4">
        <v>2</v>
      </c>
      <c r="J101" s="4">
        <v>2</v>
      </c>
      <c r="K101" s="4">
        <v>2</v>
      </c>
      <c r="L101" s="4">
        <v>2</v>
      </c>
      <c r="M101" s="4">
        <v>2</v>
      </c>
      <c r="N101" s="4">
        <v>2</v>
      </c>
      <c r="O101" s="5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</row>
    <row r="102" spans="1:30" x14ac:dyDescent="0.35">
      <c r="A102" s="38"/>
      <c r="B102" s="27"/>
      <c r="C102" s="28" t="s">
        <v>140</v>
      </c>
      <c r="D102" s="29"/>
      <c r="E102" s="30" t="s">
        <v>95</v>
      </c>
      <c r="F102" s="31"/>
      <c r="G102" s="4">
        <v>2</v>
      </c>
      <c r="H102" s="4">
        <v>2</v>
      </c>
      <c r="I102" s="4">
        <v>2</v>
      </c>
      <c r="J102" s="4">
        <v>2</v>
      </c>
      <c r="K102" s="4">
        <v>2</v>
      </c>
      <c r="L102" s="4">
        <v>2</v>
      </c>
      <c r="M102" s="4">
        <v>2</v>
      </c>
      <c r="N102" s="4">
        <v>2</v>
      </c>
      <c r="O102" s="4">
        <v>2</v>
      </c>
      <c r="P102" s="4">
        <v>2</v>
      </c>
      <c r="Q102" s="5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</row>
    <row r="103" spans="1:30" x14ac:dyDescent="0.35">
      <c r="A103" s="38"/>
      <c r="B103" s="27"/>
      <c r="C103" s="28" t="s">
        <v>141</v>
      </c>
      <c r="D103" s="29"/>
      <c r="E103" s="30" t="s">
        <v>96</v>
      </c>
      <c r="F103" s="31"/>
      <c r="G103" s="4">
        <v>3</v>
      </c>
      <c r="H103" s="4">
        <v>3</v>
      </c>
      <c r="I103" s="4">
        <v>3</v>
      </c>
      <c r="J103" s="4">
        <v>3</v>
      </c>
      <c r="K103" s="4">
        <v>3</v>
      </c>
      <c r="L103" s="4">
        <v>3</v>
      </c>
      <c r="M103" s="4">
        <v>3</v>
      </c>
      <c r="N103" s="4">
        <v>3</v>
      </c>
      <c r="O103" s="4">
        <v>3</v>
      </c>
      <c r="P103" s="4">
        <v>3</v>
      </c>
      <c r="Q103" s="4">
        <v>3</v>
      </c>
      <c r="R103" s="4">
        <v>3</v>
      </c>
      <c r="S103" s="4">
        <v>3</v>
      </c>
      <c r="T103" s="5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</row>
    <row r="104" spans="1:30" x14ac:dyDescent="0.35">
      <c r="A104" s="38"/>
      <c r="B104" s="27"/>
      <c r="C104" s="28" t="s">
        <v>142</v>
      </c>
      <c r="D104" s="29"/>
      <c r="E104" s="30" t="s">
        <v>95</v>
      </c>
      <c r="F104" s="31"/>
      <c r="G104" s="4">
        <v>2</v>
      </c>
      <c r="H104" s="4">
        <v>2</v>
      </c>
      <c r="I104" s="4">
        <v>2</v>
      </c>
      <c r="J104" s="4">
        <v>2</v>
      </c>
      <c r="K104" s="4">
        <v>2</v>
      </c>
      <c r="L104" s="4">
        <v>2</v>
      </c>
      <c r="M104" s="4">
        <v>2</v>
      </c>
      <c r="N104" s="4">
        <v>2</v>
      </c>
      <c r="O104" s="4">
        <v>2</v>
      </c>
      <c r="P104" s="4">
        <v>2</v>
      </c>
      <c r="Q104" s="4">
        <v>2</v>
      </c>
      <c r="R104" s="4">
        <v>2</v>
      </c>
      <c r="S104" s="4">
        <v>2</v>
      </c>
      <c r="T104" s="4">
        <v>2</v>
      </c>
      <c r="U104" s="5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</row>
    <row r="105" spans="1:30" x14ac:dyDescent="0.35">
      <c r="A105" s="38"/>
      <c r="B105" s="27"/>
      <c r="C105" s="28" t="s">
        <v>143</v>
      </c>
      <c r="D105" s="29"/>
      <c r="E105" s="30" t="s">
        <v>96</v>
      </c>
      <c r="F105" s="31"/>
      <c r="G105" s="4">
        <v>2</v>
      </c>
      <c r="H105" s="4">
        <v>2</v>
      </c>
      <c r="I105" s="4">
        <v>2</v>
      </c>
      <c r="J105" s="4">
        <v>2</v>
      </c>
      <c r="K105" s="4">
        <v>2</v>
      </c>
      <c r="L105" s="4">
        <v>2</v>
      </c>
      <c r="M105" s="4">
        <v>2</v>
      </c>
      <c r="N105" s="4">
        <v>2</v>
      </c>
      <c r="O105" s="4">
        <v>2</v>
      </c>
      <c r="P105" s="4">
        <v>2</v>
      </c>
      <c r="Q105" s="4">
        <v>2</v>
      </c>
      <c r="R105" s="4">
        <v>2</v>
      </c>
      <c r="S105" s="4">
        <v>2</v>
      </c>
      <c r="T105" s="4">
        <v>2</v>
      </c>
      <c r="U105" s="4">
        <v>2</v>
      </c>
      <c r="V105" s="5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</row>
    <row r="106" spans="1:30" x14ac:dyDescent="0.35">
      <c r="A106" s="38"/>
      <c r="B106" s="27"/>
      <c r="C106" s="28" t="s">
        <v>144</v>
      </c>
      <c r="D106" s="29"/>
      <c r="E106" s="30" t="s">
        <v>95</v>
      </c>
      <c r="F106" s="31"/>
      <c r="G106" s="4">
        <v>2</v>
      </c>
      <c r="H106" s="4">
        <v>2</v>
      </c>
      <c r="I106" s="4">
        <v>2</v>
      </c>
      <c r="J106" s="4">
        <v>2</v>
      </c>
      <c r="K106" s="4">
        <v>2</v>
      </c>
      <c r="L106" s="4">
        <v>2</v>
      </c>
      <c r="M106" s="4">
        <v>2</v>
      </c>
      <c r="N106" s="4">
        <v>2</v>
      </c>
      <c r="O106" s="4">
        <v>2</v>
      </c>
      <c r="P106" s="4">
        <v>2</v>
      </c>
      <c r="Q106" s="4">
        <v>2</v>
      </c>
      <c r="R106" s="4">
        <v>2</v>
      </c>
      <c r="S106" s="4">
        <v>2</v>
      </c>
      <c r="T106" s="4">
        <v>2</v>
      </c>
      <c r="U106" s="4">
        <v>2</v>
      </c>
      <c r="V106" s="4">
        <v>2</v>
      </c>
      <c r="W106" s="5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</row>
    <row r="107" spans="1:30" x14ac:dyDescent="0.35">
      <c r="A107" s="38"/>
      <c r="B107" s="27"/>
      <c r="C107" s="28" t="s">
        <v>145</v>
      </c>
      <c r="D107" s="29"/>
      <c r="E107" s="30" t="s">
        <v>96</v>
      </c>
      <c r="F107" s="31"/>
      <c r="G107" s="4">
        <v>2</v>
      </c>
      <c r="H107" s="4">
        <v>2</v>
      </c>
      <c r="I107" s="4">
        <v>2</v>
      </c>
      <c r="J107" s="4">
        <v>2</v>
      </c>
      <c r="K107" s="4">
        <v>2</v>
      </c>
      <c r="L107" s="4">
        <v>2</v>
      </c>
      <c r="M107" s="4">
        <v>2</v>
      </c>
      <c r="N107" s="4">
        <v>2</v>
      </c>
      <c r="O107" s="4">
        <v>2</v>
      </c>
      <c r="P107" s="4">
        <v>2</v>
      </c>
      <c r="Q107" s="4">
        <v>2</v>
      </c>
      <c r="R107" s="4">
        <v>2</v>
      </c>
      <c r="S107" s="4">
        <v>2</v>
      </c>
      <c r="T107" s="4">
        <v>2</v>
      </c>
      <c r="U107" s="4">
        <v>2</v>
      </c>
      <c r="V107" s="4">
        <v>2</v>
      </c>
      <c r="W107" s="4">
        <v>2</v>
      </c>
      <c r="X107" s="5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</row>
    <row r="108" spans="1:30" x14ac:dyDescent="0.35">
      <c r="A108" s="38"/>
      <c r="B108" s="27"/>
      <c r="C108" s="28" t="s">
        <v>68</v>
      </c>
      <c r="D108" s="29"/>
      <c r="E108" s="30" t="s">
        <v>95</v>
      </c>
      <c r="F108" s="31"/>
      <c r="G108" s="4">
        <v>2</v>
      </c>
      <c r="H108" s="4">
        <v>2</v>
      </c>
      <c r="I108" s="4">
        <v>2</v>
      </c>
      <c r="J108" s="4">
        <v>2</v>
      </c>
      <c r="K108" s="4">
        <v>2</v>
      </c>
      <c r="L108" s="4">
        <v>2</v>
      </c>
      <c r="M108" s="4">
        <v>2</v>
      </c>
      <c r="N108" s="4">
        <v>2</v>
      </c>
      <c r="O108" s="4">
        <v>2</v>
      </c>
      <c r="P108" s="4">
        <v>2</v>
      </c>
      <c r="Q108" s="4">
        <v>2</v>
      </c>
      <c r="R108" s="4">
        <v>2</v>
      </c>
      <c r="S108" s="4">
        <v>2</v>
      </c>
      <c r="T108" s="4">
        <v>2</v>
      </c>
      <c r="U108" s="4">
        <v>2</v>
      </c>
      <c r="V108" s="4">
        <v>2</v>
      </c>
      <c r="W108" s="4">
        <v>2</v>
      </c>
      <c r="X108" s="4">
        <v>2</v>
      </c>
      <c r="Y108" s="4">
        <v>2</v>
      </c>
      <c r="Z108" s="5">
        <v>0</v>
      </c>
      <c r="AA108" s="4">
        <v>0</v>
      </c>
      <c r="AB108" s="4">
        <v>0</v>
      </c>
      <c r="AC108" s="4">
        <v>0</v>
      </c>
      <c r="AD108" s="4">
        <v>0</v>
      </c>
    </row>
    <row r="109" spans="1:30" x14ac:dyDescent="0.35">
      <c r="A109" s="38"/>
      <c r="B109" s="27"/>
      <c r="C109" s="28" t="s">
        <v>270</v>
      </c>
      <c r="D109" s="29"/>
      <c r="E109" s="30" t="s">
        <v>96</v>
      </c>
      <c r="F109" s="31"/>
      <c r="G109" s="4">
        <v>2</v>
      </c>
      <c r="H109" s="4">
        <v>2</v>
      </c>
      <c r="I109" s="4">
        <v>2</v>
      </c>
      <c r="J109" s="4">
        <v>2</v>
      </c>
      <c r="K109" s="4">
        <v>2</v>
      </c>
      <c r="L109" s="4">
        <v>2</v>
      </c>
      <c r="M109" s="4">
        <v>2</v>
      </c>
      <c r="N109" s="4">
        <v>2</v>
      </c>
      <c r="O109" s="4">
        <v>2</v>
      </c>
      <c r="P109" s="4">
        <v>2</v>
      </c>
      <c r="Q109" s="4">
        <v>2</v>
      </c>
      <c r="R109" s="4">
        <v>2</v>
      </c>
      <c r="S109" s="4">
        <v>2</v>
      </c>
      <c r="T109" s="4">
        <v>2</v>
      </c>
      <c r="U109" s="4">
        <v>2</v>
      </c>
      <c r="V109" s="4">
        <v>2</v>
      </c>
      <c r="W109" s="4">
        <v>2</v>
      </c>
      <c r="X109" s="4">
        <v>2</v>
      </c>
      <c r="Y109" s="4">
        <v>2</v>
      </c>
      <c r="Z109" s="4">
        <v>2</v>
      </c>
      <c r="AA109" s="4">
        <v>2</v>
      </c>
      <c r="AB109" s="5">
        <v>0</v>
      </c>
      <c r="AC109" s="4">
        <v>0</v>
      </c>
      <c r="AD109" s="4">
        <v>0</v>
      </c>
    </row>
    <row r="110" spans="1:30" x14ac:dyDescent="0.35">
      <c r="A110" s="38"/>
      <c r="B110" s="27"/>
      <c r="C110" s="28" t="s">
        <v>69</v>
      </c>
      <c r="D110" s="29"/>
      <c r="E110" s="30" t="s">
        <v>95</v>
      </c>
      <c r="F110" s="31"/>
      <c r="G110" s="4">
        <v>2</v>
      </c>
      <c r="H110" s="4">
        <v>2</v>
      </c>
      <c r="I110" s="4">
        <v>2</v>
      </c>
      <c r="J110" s="4">
        <v>2</v>
      </c>
      <c r="K110" s="4">
        <v>2</v>
      </c>
      <c r="L110" s="4">
        <v>2</v>
      </c>
      <c r="M110" s="4">
        <v>2</v>
      </c>
      <c r="N110" s="4">
        <v>2</v>
      </c>
      <c r="O110" s="4">
        <v>2</v>
      </c>
      <c r="P110" s="4">
        <v>2</v>
      </c>
      <c r="Q110" s="4">
        <v>2</v>
      </c>
      <c r="R110" s="4">
        <v>2</v>
      </c>
      <c r="S110" s="4">
        <v>2</v>
      </c>
      <c r="T110" s="4">
        <v>2</v>
      </c>
      <c r="U110" s="4">
        <v>2</v>
      </c>
      <c r="V110" s="4">
        <v>2</v>
      </c>
      <c r="W110" s="4">
        <v>2</v>
      </c>
      <c r="X110" s="4">
        <v>2</v>
      </c>
      <c r="Y110" s="4">
        <v>2</v>
      </c>
      <c r="Z110" s="4">
        <v>2</v>
      </c>
      <c r="AA110" s="4">
        <v>2</v>
      </c>
      <c r="AB110" s="4">
        <v>2</v>
      </c>
      <c r="AC110" s="5">
        <v>0</v>
      </c>
      <c r="AD110" s="4">
        <v>0</v>
      </c>
    </row>
    <row r="111" spans="1:30" x14ac:dyDescent="0.35">
      <c r="A111" s="38"/>
      <c r="B111" s="27"/>
      <c r="C111" s="28" t="s">
        <v>72</v>
      </c>
      <c r="D111" s="29"/>
      <c r="E111" s="30" t="s">
        <v>96</v>
      </c>
      <c r="F111" s="31"/>
      <c r="G111" s="4">
        <v>2</v>
      </c>
      <c r="H111" s="4">
        <v>2</v>
      </c>
      <c r="I111" s="4">
        <v>2</v>
      </c>
      <c r="J111" s="4">
        <v>2</v>
      </c>
      <c r="K111" s="4">
        <v>2</v>
      </c>
      <c r="L111" s="4">
        <v>2</v>
      </c>
      <c r="M111" s="4">
        <v>2</v>
      </c>
      <c r="N111" s="4">
        <v>2</v>
      </c>
      <c r="O111" s="4">
        <v>2</v>
      </c>
      <c r="P111" s="4">
        <v>2</v>
      </c>
      <c r="Q111" s="4">
        <v>2</v>
      </c>
      <c r="R111" s="4">
        <v>2</v>
      </c>
      <c r="S111" s="4">
        <v>2</v>
      </c>
      <c r="T111" s="4">
        <v>2</v>
      </c>
      <c r="U111" s="4">
        <v>2</v>
      </c>
      <c r="V111" s="4">
        <v>2</v>
      </c>
      <c r="W111" s="4">
        <v>2</v>
      </c>
      <c r="X111" s="4">
        <v>2</v>
      </c>
      <c r="Y111" s="4">
        <v>2</v>
      </c>
      <c r="Z111" s="4">
        <v>2</v>
      </c>
      <c r="AA111" s="4">
        <v>2</v>
      </c>
      <c r="AB111" s="4">
        <v>2</v>
      </c>
      <c r="AC111" s="5">
        <v>0</v>
      </c>
      <c r="AD111" s="4">
        <v>0</v>
      </c>
    </row>
    <row r="112" spans="1:30" x14ac:dyDescent="0.35">
      <c r="A112" s="38"/>
      <c r="B112" s="27" t="s">
        <v>73</v>
      </c>
      <c r="C112" s="28" t="s">
        <v>146</v>
      </c>
      <c r="D112" s="29"/>
      <c r="E112" s="30" t="s">
        <v>17</v>
      </c>
      <c r="F112" s="31"/>
      <c r="G112" s="4">
        <v>4</v>
      </c>
      <c r="H112" s="4">
        <v>4</v>
      </c>
      <c r="I112" s="4">
        <v>4</v>
      </c>
      <c r="J112" s="4">
        <v>4</v>
      </c>
      <c r="K112" s="4">
        <v>4</v>
      </c>
      <c r="L112" s="4">
        <v>4</v>
      </c>
      <c r="M112" s="4">
        <v>4</v>
      </c>
      <c r="N112" s="4">
        <v>4</v>
      </c>
      <c r="O112" s="4">
        <v>4</v>
      </c>
      <c r="P112" s="4">
        <v>4</v>
      </c>
      <c r="Q112" s="4">
        <v>4</v>
      </c>
      <c r="R112" s="4">
        <v>4</v>
      </c>
      <c r="S112" s="4">
        <v>4</v>
      </c>
      <c r="T112" s="4">
        <v>4</v>
      </c>
      <c r="U112" s="4">
        <v>4</v>
      </c>
      <c r="V112" s="4">
        <v>4</v>
      </c>
      <c r="W112" s="4">
        <v>4</v>
      </c>
      <c r="X112" s="4">
        <v>4</v>
      </c>
      <c r="Y112" s="4">
        <v>4</v>
      </c>
      <c r="Z112" s="4">
        <v>4</v>
      </c>
      <c r="AA112" s="4">
        <v>4</v>
      </c>
      <c r="AB112" s="4">
        <v>4</v>
      </c>
      <c r="AC112" s="4">
        <v>4</v>
      </c>
      <c r="AD112" s="5">
        <v>0</v>
      </c>
    </row>
    <row r="113" spans="1:30" x14ac:dyDescent="0.35">
      <c r="A113" s="38"/>
      <c r="B113" s="27"/>
      <c r="C113" s="28" t="s">
        <v>147</v>
      </c>
      <c r="D113" s="29"/>
      <c r="E113" s="30" t="s">
        <v>17</v>
      </c>
      <c r="F113" s="31"/>
      <c r="G113" s="4">
        <v>2</v>
      </c>
      <c r="H113" s="4">
        <v>2</v>
      </c>
      <c r="I113" s="4">
        <v>2</v>
      </c>
      <c r="J113" s="4">
        <v>2</v>
      </c>
      <c r="K113" s="4">
        <v>2</v>
      </c>
      <c r="L113" s="4">
        <v>2</v>
      </c>
      <c r="M113" s="4">
        <v>2</v>
      </c>
      <c r="N113" s="4">
        <v>2</v>
      </c>
      <c r="O113" s="4">
        <v>2</v>
      </c>
      <c r="P113" s="4">
        <v>2</v>
      </c>
      <c r="Q113" s="4">
        <v>2</v>
      </c>
      <c r="R113" s="4">
        <v>2</v>
      </c>
      <c r="S113" s="4">
        <v>2</v>
      </c>
      <c r="T113" s="4">
        <v>2</v>
      </c>
      <c r="U113" s="4">
        <v>2</v>
      </c>
      <c r="V113" s="4">
        <v>2</v>
      </c>
      <c r="W113" s="4">
        <v>2</v>
      </c>
      <c r="X113" s="4">
        <v>2</v>
      </c>
      <c r="Y113" s="4">
        <v>2</v>
      </c>
      <c r="Z113" s="4">
        <v>2</v>
      </c>
      <c r="AA113" s="4">
        <v>2</v>
      </c>
      <c r="AB113" s="4">
        <v>2</v>
      </c>
      <c r="AC113" s="4">
        <v>2</v>
      </c>
      <c r="AD113" s="5">
        <v>0</v>
      </c>
    </row>
    <row r="114" spans="1:30" x14ac:dyDescent="0.35">
      <c r="A114" s="38"/>
      <c r="B114" s="27"/>
      <c r="C114" s="28" t="s">
        <v>148</v>
      </c>
      <c r="D114" s="29"/>
      <c r="E114" s="30" t="s">
        <v>94</v>
      </c>
      <c r="F114" s="31"/>
      <c r="G114" s="4">
        <v>2</v>
      </c>
      <c r="H114" s="4">
        <v>2</v>
      </c>
      <c r="I114" s="4">
        <v>2</v>
      </c>
      <c r="J114" s="4">
        <v>2</v>
      </c>
      <c r="K114" s="4">
        <v>2</v>
      </c>
      <c r="L114" s="4">
        <v>2</v>
      </c>
      <c r="M114" s="4">
        <v>2</v>
      </c>
      <c r="N114" s="4">
        <v>2</v>
      </c>
      <c r="O114" s="4">
        <v>2</v>
      </c>
      <c r="P114" s="4">
        <v>2</v>
      </c>
      <c r="Q114" s="4">
        <v>2</v>
      </c>
      <c r="R114" s="4">
        <v>2</v>
      </c>
      <c r="S114" s="4">
        <v>2</v>
      </c>
      <c r="T114" s="4">
        <v>2</v>
      </c>
      <c r="U114" s="4">
        <v>2</v>
      </c>
      <c r="V114" s="4">
        <v>2</v>
      </c>
      <c r="W114" s="4">
        <v>2</v>
      </c>
      <c r="X114" s="4">
        <v>2</v>
      </c>
      <c r="Y114" s="4">
        <v>2</v>
      </c>
      <c r="Z114" s="4">
        <v>2</v>
      </c>
      <c r="AA114" s="4">
        <v>2</v>
      </c>
      <c r="AB114" s="4">
        <v>2</v>
      </c>
      <c r="AC114" s="4">
        <v>2</v>
      </c>
      <c r="AD114" s="5">
        <v>0</v>
      </c>
    </row>
    <row r="115" spans="1:30" x14ac:dyDescent="0.35">
      <c r="A115" s="38"/>
      <c r="B115" s="27"/>
      <c r="C115" s="28" t="s">
        <v>149</v>
      </c>
      <c r="D115" s="29"/>
      <c r="E115" s="30" t="s">
        <v>96</v>
      </c>
      <c r="F115" s="31"/>
      <c r="G115" s="4">
        <v>2</v>
      </c>
      <c r="H115" s="4">
        <v>2</v>
      </c>
      <c r="I115" s="4">
        <v>2</v>
      </c>
      <c r="J115" s="4">
        <v>2</v>
      </c>
      <c r="K115" s="4">
        <v>2</v>
      </c>
      <c r="L115" s="4">
        <v>2</v>
      </c>
      <c r="M115" s="4">
        <v>2</v>
      </c>
      <c r="N115" s="4">
        <v>2</v>
      </c>
      <c r="O115" s="4">
        <v>2</v>
      </c>
      <c r="P115" s="4">
        <v>2</v>
      </c>
      <c r="Q115" s="4">
        <v>2</v>
      </c>
      <c r="R115" s="4">
        <v>2</v>
      </c>
      <c r="S115" s="4">
        <v>2</v>
      </c>
      <c r="T115" s="4">
        <v>2</v>
      </c>
      <c r="U115" s="4">
        <v>2</v>
      </c>
      <c r="V115" s="4">
        <v>2</v>
      </c>
      <c r="W115" s="4">
        <v>2</v>
      </c>
      <c r="X115" s="4">
        <v>2</v>
      </c>
      <c r="Y115" s="4">
        <v>2</v>
      </c>
      <c r="Z115" s="4">
        <v>2</v>
      </c>
      <c r="AA115" s="4">
        <v>2</v>
      </c>
      <c r="AB115" s="4">
        <v>2</v>
      </c>
      <c r="AC115" s="4">
        <v>2</v>
      </c>
      <c r="AD115" s="5">
        <v>0</v>
      </c>
    </row>
    <row r="116" spans="1:30" x14ac:dyDescent="0.35">
      <c r="A116" s="38"/>
      <c r="B116" s="27"/>
      <c r="C116" s="28" t="s">
        <v>150</v>
      </c>
      <c r="D116" s="29"/>
      <c r="E116" s="30" t="s">
        <v>95</v>
      </c>
      <c r="F116" s="31"/>
      <c r="G116" s="4">
        <v>2</v>
      </c>
      <c r="H116" s="4">
        <v>2</v>
      </c>
      <c r="I116" s="4">
        <v>2</v>
      </c>
      <c r="J116" s="4">
        <v>2</v>
      </c>
      <c r="K116" s="4">
        <v>2</v>
      </c>
      <c r="L116" s="4">
        <v>2</v>
      </c>
      <c r="M116" s="4">
        <v>2</v>
      </c>
      <c r="N116" s="4">
        <v>2</v>
      </c>
      <c r="O116" s="4">
        <v>2</v>
      </c>
      <c r="P116" s="4">
        <v>2</v>
      </c>
      <c r="Q116" s="4">
        <v>2</v>
      </c>
      <c r="R116" s="4">
        <v>2</v>
      </c>
      <c r="S116" s="4">
        <v>2</v>
      </c>
      <c r="T116" s="4">
        <v>2</v>
      </c>
      <c r="U116" s="4">
        <v>2</v>
      </c>
      <c r="V116" s="4">
        <v>2</v>
      </c>
      <c r="W116" s="4">
        <v>2</v>
      </c>
      <c r="X116" s="4">
        <v>2</v>
      </c>
      <c r="Y116" s="4">
        <v>2</v>
      </c>
      <c r="Z116" s="4">
        <v>2</v>
      </c>
      <c r="AA116" s="4">
        <v>2</v>
      </c>
      <c r="AB116" s="4">
        <v>2</v>
      </c>
      <c r="AC116" s="4">
        <v>2</v>
      </c>
      <c r="AD116" s="5">
        <v>0</v>
      </c>
    </row>
    <row r="117" spans="1:30" x14ac:dyDescent="0.35">
      <c r="A117" s="38"/>
      <c r="B117" s="43" t="s">
        <v>12</v>
      </c>
      <c r="C117" s="43"/>
      <c r="D117" s="43"/>
      <c r="E117" s="42" t="s">
        <v>11</v>
      </c>
      <c r="F117" s="42"/>
      <c r="G117" s="30">
        <f>SUM(G18:G116)</f>
        <v>404</v>
      </c>
      <c r="H117" s="31"/>
      <c r="I117" s="4">
        <f t="shared" ref="I117:AD117" si="0">SUM(I18:I116)</f>
        <v>392</v>
      </c>
      <c r="J117" s="4">
        <f t="shared" si="0"/>
        <v>372</v>
      </c>
      <c r="K117" s="4">
        <f t="shared" si="0"/>
        <v>352</v>
      </c>
      <c r="L117" s="4">
        <f t="shared" si="0"/>
        <v>340</v>
      </c>
      <c r="M117" s="4">
        <f t="shared" si="0"/>
        <v>310</v>
      </c>
      <c r="N117" s="4">
        <f t="shared" si="0"/>
        <v>306</v>
      </c>
      <c r="O117" s="4">
        <f t="shared" si="0"/>
        <v>292</v>
      </c>
      <c r="P117" s="4">
        <f t="shared" si="0"/>
        <v>281</v>
      </c>
      <c r="Q117" s="4">
        <f t="shared" si="0"/>
        <v>251</v>
      </c>
      <c r="R117" s="4">
        <f t="shared" si="0"/>
        <v>238</v>
      </c>
      <c r="S117" s="4">
        <f t="shared" si="0"/>
        <v>216</v>
      </c>
      <c r="T117" s="4">
        <f t="shared" si="0"/>
        <v>190</v>
      </c>
      <c r="U117" s="4">
        <f t="shared" si="0"/>
        <v>172</v>
      </c>
      <c r="V117" s="4">
        <f t="shared" si="0"/>
        <v>157</v>
      </c>
      <c r="W117" s="4">
        <f t="shared" si="0"/>
        <v>134</v>
      </c>
      <c r="X117" s="4">
        <f t="shared" si="0"/>
        <v>113</v>
      </c>
      <c r="Y117" s="4">
        <f t="shared" si="0"/>
        <v>95</v>
      </c>
      <c r="Z117" s="4">
        <f t="shared" si="0"/>
        <v>68</v>
      </c>
      <c r="AA117" s="4">
        <f t="shared" si="0"/>
        <v>45</v>
      </c>
      <c r="AB117" s="4">
        <f t="shared" si="0"/>
        <v>30</v>
      </c>
      <c r="AC117" s="4">
        <f t="shared" si="0"/>
        <v>12</v>
      </c>
      <c r="AD117" s="4">
        <f t="shared" si="0"/>
        <v>0</v>
      </c>
    </row>
    <row r="118" spans="1:30" x14ac:dyDescent="0.35">
      <c r="A118" s="39"/>
      <c r="B118" s="43"/>
      <c r="C118" s="43"/>
      <c r="D118" s="43"/>
      <c r="E118" s="42" t="s">
        <v>18</v>
      </c>
      <c r="F118" s="42"/>
      <c r="G118" s="30">
        <f>SUM(H18:H116)</f>
        <v>404</v>
      </c>
      <c r="H118" s="31"/>
      <c r="I118" s="4">
        <f t="shared" ref="I118:AD118" si="1">SUM(I18:I116)</f>
        <v>392</v>
      </c>
      <c r="J118" s="4">
        <f t="shared" si="1"/>
        <v>372</v>
      </c>
      <c r="K118" s="4">
        <f t="shared" si="1"/>
        <v>352</v>
      </c>
      <c r="L118" s="4">
        <f t="shared" si="1"/>
        <v>340</v>
      </c>
      <c r="M118" s="4">
        <f t="shared" si="1"/>
        <v>310</v>
      </c>
      <c r="N118" s="4">
        <f t="shared" si="1"/>
        <v>306</v>
      </c>
      <c r="O118" s="4">
        <f t="shared" si="1"/>
        <v>292</v>
      </c>
      <c r="P118" s="4">
        <f t="shared" si="1"/>
        <v>281</v>
      </c>
      <c r="Q118" s="4">
        <f t="shared" si="1"/>
        <v>251</v>
      </c>
      <c r="R118" s="4">
        <f t="shared" si="1"/>
        <v>238</v>
      </c>
      <c r="S118" s="4">
        <f t="shared" si="1"/>
        <v>216</v>
      </c>
      <c r="T118" s="4">
        <f t="shared" si="1"/>
        <v>190</v>
      </c>
      <c r="U118" s="4">
        <f t="shared" si="1"/>
        <v>172</v>
      </c>
      <c r="V118" s="4">
        <f t="shared" si="1"/>
        <v>157</v>
      </c>
      <c r="W118" s="4">
        <f t="shared" si="1"/>
        <v>134</v>
      </c>
      <c r="X118" s="4">
        <f t="shared" si="1"/>
        <v>113</v>
      </c>
      <c r="Y118" s="4">
        <f t="shared" si="1"/>
        <v>95</v>
      </c>
      <c r="Z118" s="4">
        <f t="shared" si="1"/>
        <v>68</v>
      </c>
      <c r="AA118" s="4">
        <f t="shared" si="1"/>
        <v>45</v>
      </c>
      <c r="AB118" s="4">
        <f t="shared" si="1"/>
        <v>30</v>
      </c>
      <c r="AC118" s="4">
        <f t="shared" si="1"/>
        <v>12</v>
      </c>
      <c r="AD118" s="4">
        <f t="shared" si="1"/>
        <v>0</v>
      </c>
    </row>
    <row r="119" spans="1:30" x14ac:dyDescent="0.35">
      <c r="C119" s="41"/>
      <c r="D119" s="41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</row>
    <row r="120" spans="1:30" ht="29.5" customHeight="1" x14ac:dyDescent="0.5">
      <c r="A120" s="44" t="s">
        <v>89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</row>
    <row r="121" spans="1:30" ht="56" x14ac:dyDescent="0.35">
      <c r="A121" s="21" t="s">
        <v>7</v>
      </c>
      <c r="B121" s="21" t="s">
        <v>8</v>
      </c>
      <c r="C121" s="32" t="s">
        <v>9</v>
      </c>
      <c r="D121" s="32"/>
      <c r="E121" s="32" t="s">
        <v>10</v>
      </c>
      <c r="F121" s="32"/>
      <c r="G121" s="2" t="s">
        <v>11</v>
      </c>
      <c r="H121" s="2" t="s">
        <v>18</v>
      </c>
      <c r="I121" s="3">
        <v>46100</v>
      </c>
      <c r="J121" s="3">
        <v>46101</v>
      </c>
      <c r="K121" s="3">
        <v>46102</v>
      </c>
      <c r="L121" s="3">
        <v>46103</v>
      </c>
      <c r="M121" s="3">
        <v>46104</v>
      </c>
      <c r="N121" s="3">
        <v>46105</v>
      </c>
      <c r="O121" s="3">
        <v>46106</v>
      </c>
      <c r="P121" s="3">
        <v>46107</v>
      </c>
      <c r="Q121" s="3">
        <v>46108</v>
      </c>
      <c r="R121" s="3">
        <v>46109</v>
      </c>
      <c r="S121" s="3">
        <v>46110</v>
      </c>
      <c r="T121" s="3">
        <v>46111</v>
      </c>
      <c r="U121" s="3">
        <v>46112</v>
      </c>
      <c r="V121" s="3">
        <v>46113</v>
      </c>
      <c r="W121" s="3">
        <v>46114</v>
      </c>
      <c r="X121" s="3">
        <v>46115</v>
      </c>
      <c r="Y121" s="3">
        <v>46116</v>
      </c>
      <c r="Z121" s="3">
        <v>46117</v>
      </c>
      <c r="AA121" s="3">
        <v>46118</v>
      </c>
      <c r="AB121" s="3">
        <v>46119</v>
      </c>
      <c r="AC121" s="3">
        <v>46120</v>
      </c>
      <c r="AD121" s="3">
        <v>46121</v>
      </c>
    </row>
    <row r="122" spans="1:30" x14ac:dyDescent="0.35">
      <c r="A122" s="37" t="s">
        <v>4</v>
      </c>
      <c r="B122" s="37" t="s">
        <v>90</v>
      </c>
      <c r="C122" s="28" t="s">
        <v>91</v>
      </c>
      <c r="D122" s="29"/>
      <c r="E122" s="30" t="s">
        <v>17</v>
      </c>
      <c r="F122" s="31"/>
      <c r="G122" s="4">
        <v>4</v>
      </c>
      <c r="H122" s="4">
        <v>4</v>
      </c>
      <c r="I122" s="5">
        <v>0</v>
      </c>
      <c r="J122" s="18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</row>
    <row r="123" spans="1:30" x14ac:dyDescent="0.35">
      <c r="A123" s="38"/>
      <c r="B123" s="38"/>
      <c r="C123" s="28" t="s">
        <v>92</v>
      </c>
      <c r="D123" s="29"/>
      <c r="E123" s="30" t="s">
        <v>94</v>
      </c>
      <c r="F123" s="31"/>
      <c r="G123" s="4">
        <v>4</v>
      </c>
      <c r="H123" s="4">
        <v>4</v>
      </c>
      <c r="I123" s="5">
        <v>0</v>
      </c>
      <c r="J123" s="18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</row>
    <row r="124" spans="1:30" x14ac:dyDescent="0.35">
      <c r="A124" s="38"/>
      <c r="B124" s="39"/>
      <c r="C124" s="28" t="s">
        <v>93</v>
      </c>
      <c r="D124" s="29"/>
      <c r="E124" s="30" t="s">
        <v>95</v>
      </c>
      <c r="F124" s="31"/>
      <c r="G124" s="4">
        <v>4</v>
      </c>
      <c r="H124" s="4">
        <v>4</v>
      </c>
      <c r="I124" s="5">
        <v>0</v>
      </c>
      <c r="J124" s="18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</row>
    <row r="125" spans="1:30" x14ac:dyDescent="0.35">
      <c r="A125" s="38"/>
      <c r="B125" s="37" t="s">
        <v>13</v>
      </c>
      <c r="C125" s="28" t="s">
        <v>25</v>
      </c>
      <c r="D125" s="29"/>
      <c r="E125" s="30" t="s">
        <v>96</v>
      </c>
      <c r="F125" s="31"/>
      <c r="G125" s="4">
        <v>4</v>
      </c>
      <c r="H125" s="4">
        <v>4</v>
      </c>
      <c r="I125" s="4">
        <v>4</v>
      </c>
      <c r="J125" s="5">
        <v>0</v>
      </c>
      <c r="K125" s="18">
        <v>0</v>
      </c>
      <c r="L125" s="18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</row>
    <row r="126" spans="1:30" x14ac:dyDescent="0.35">
      <c r="A126" s="38"/>
      <c r="B126" s="38"/>
      <c r="C126" s="28" t="s">
        <v>24</v>
      </c>
      <c r="D126" s="29"/>
      <c r="E126" s="30" t="s">
        <v>95</v>
      </c>
      <c r="F126" s="31"/>
      <c r="G126" s="4">
        <v>2</v>
      </c>
      <c r="H126" s="4">
        <v>4</v>
      </c>
      <c r="I126" s="4">
        <v>2</v>
      </c>
      <c r="J126" s="4">
        <v>2</v>
      </c>
      <c r="K126" s="5">
        <v>0</v>
      </c>
      <c r="L126" s="18">
        <v>0</v>
      </c>
      <c r="M126" s="18">
        <v>0</v>
      </c>
      <c r="N126" s="18">
        <v>0</v>
      </c>
      <c r="O126" s="18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</row>
    <row r="127" spans="1:30" x14ac:dyDescent="0.35">
      <c r="A127" s="38"/>
      <c r="B127" s="38"/>
      <c r="C127" s="30"/>
      <c r="D127" s="31"/>
      <c r="E127" s="30"/>
      <c r="F127" s="31"/>
      <c r="G127" s="4"/>
      <c r="H127" s="4"/>
      <c r="I127" s="4"/>
      <c r="J127" s="4"/>
      <c r="K127" s="6">
        <v>2</v>
      </c>
      <c r="L127" s="18"/>
      <c r="M127" s="18"/>
      <c r="N127" s="18"/>
      <c r="O127" s="18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x14ac:dyDescent="0.35">
      <c r="A128" s="38"/>
      <c r="B128" s="38"/>
      <c r="C128" s="28" t="s">
        <v>26</v>
      </c>
      <c r="D128" s="29"/>
      <c r="E128" s="30" t="s">
        <v>96</v>
      </c>
      <c r="F128" s="31"/>
      <c r="G128" s="4">
        <v>4</v>
      </c>
      <c r="H128" s="4">
        <v>4</v>
      </c>
      <c r="I128" s="4">
        <v>4</v>
      </c>
      <c r="J128" s="4">
        <v>4</v>
      </c>
      <c r="K128" s="4">
        <v>4</v>
      </c>
      <c r="L128" s="4">
        <v>4</v>
      </c>
      <c r="M128" s="5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</row>
    <row r="129" spans="1:30" x14ac:dyDescent="0.35">
      <c r="A129" s="38"/>
      <c r="B129" s="38"/>
      <c r="C129" s="28" t="s">
        <v>100</v>
      </c>
      <c r="D129" s="29"/>
      <c r="E129" s="30" t="s">
        <v>95</v>
      </c>
      <c r="F129" s="31"/>
      <c r="G129" s="4">
        <v>3</v>
      </c>
      <c r="H129" s="4">
        <v>3</v>
      </c>
      <c r="I129" s="4">
        <v>3</v>
      </c>
      <c r="J129" s="4">
        <v>3</v>
      </c>
      <c r="K129" s="4">
        <v>3</v>
      </c>
      <c r="L129" s="4">
        <v>3</v>
      </c>
      <c r="M129" s="4">
        <v>3</v>
      </c>
      <c r="N129" s="4">
        <v>3</v>
      </c>
      <c r="O129" s="5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</row>
    <row r="130" spans="1:30" x14ac:dyDescent="0.35">
      <c r="A130" s="38"/>
      <c r="B130" s="38"/>
      <c r="C130" s="28" t="s">
        <v>97</v>
      </c>
      <c r="D130" s="29"/>
      <c r="E130" s="30" t="s">
        <v>96</v>
      </c>
      <c r="F130" s="31"/>
      <c r="G130" s="4">
        <v>5</v>
      </c>
      <c r="H130" s="4">
        <v>5</v>
      </c>
      <c r="I130" s="4">
        <v>5</v>
      </c>
      <c r="J130" s="4">
        <v>5</v>
      </c>
      <c r="K130" s="4">
        <v>5</v>
      </c>
      <c r="L130" s="4">
        <v>5</v>
      </c>
      <c r="M130" s="4">
        <v>5</v>
      </c>
      <c r="N130" s="4">
        <v>5</v>
      </c>
      <c r="O130" s="4">
        <v>5</v>
      </c>
      <c r="P130" s="4">
        <v>5</v>
      </c>
      <c r="Q130" s="5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</row>
    <row r="131" spans="1:30" x14ac:dyDescent="0.35">
      <c r="A131" s="38"/>
      <c r="B131" s="38"/>
      <c r="C131" s="28" t="s">
        <v>101</v>
      </c>
      <c r="D131" s="29"/>
      <c r="E131" s="30" t="s">
        <v>95</v>
      </c>
      <c r="F131" s="31"/>
      <c r="G131" s="4">
        <v>3</v>
      </c>
      <c r="H131" s="4">
        <v>3</v>
      </c>
      <c r="I131" s="4">
        <v>3</v>
      </c>
      <c r="J131" s="4">
        <v>3</v>
      </c>
      <c r="K131" s="4">
        <v>3</v>
      </c>
      <c r="L131" s="4">
        <v>3</v>
      </c>
      <c r="M131" s="4">
        <v>3</v>
      </c>
      <c r="N131" s="4">
        <v>3</v>
      </c>
      <c r="O131" s="4">
        <v>3</v>
      </c>
      <c r="P131" s="4">
        <v>3</v>
      </c>
      <c r="Q131" s="4">
        <v>3</v>
      </c>
      <c r="R131" s="5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</row>
    <row r="132" spans="1:30" x14ac:dyDescent="0.35">
      <c r="A132" s="38"/>
      <c r="B132" s="38"/>
      <c r="C132" s="28" t="s">
        <v>98</v>
      </c>
      <c r="D132" s="29"/>
      <c r="E132" s="30" t="s">
        <v>96</v>
      </c>
      <c r="F132" s="31"/>
      <c r="G132" s="4">
        <v>3</v>
      </c>
      <c r="H132" s="4">
        <v>3</v>
      </c>
      <c r="I132" s="4">
        <v>3</v>
      </c>
      <c r="J132" s="4">
        <v>3</v>
      </c>
      <c r="K132" s="4">
        <v>3</v>
      </c>
      <c r="L132" s="4">
        <v>3</v>
      </c>
      <c r="M132" s="4">
        <v>3</v>
      </c>
      <c r="N132" s="4">
        <v>3</v>
      </c>
      <c r="O132" s="4">
        <v>3</v>
      </c>
      <c r="P132" s="4">
        <v>3</v>
      </c>
      <c r="Q132" s="4">
        <v>3</v>
      </c>
      <c r="R132" s="4">
        <v>3</v>
      </c>
      <c r="S132" s="5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</row>
    <row r="133" spans="1:30" x14ac:dyDescent="0.35">
      <c r="A133" s="38"/>
      <c r="B133" s="38"/>
      <c r="C133" s="28" t="s">
        <v>102</v>
      </c>
      <c r="D133" s="29"/>
      <c r="E133" s="30" t="s">
        <v>95</v>
      </c>
      <c r="F133" s="31"/>
      <c r="G133" s="4">
        <v>3</v>
      </c>
      <c r="H133" s="4">
        <v>3</v>
      </c>
      <c r="I133" s="4">
        <v>3</v>
      </c>
      <c r="J133" s="4">
        <v>3</v>
      </c>
      <c r="K133" s="4">
        <v>3</v>
      </c>
      <c r="L133" s="4">
        <v>3</v>
      </c>
      <c r="M133" s="4">
        <v>3</v>
      </c>
      <c r="N133" s="4">
        <v>3</v>
      </c>
      <c r="O133" s="4">
        <v>3</v>
      </c>
      <c r="P133" s="4">
        <v>3</v>
      </c>
      <c r="Q133" s="4">
        <v>3</v>
      </c>
      <c r="R133" s="4">
        <v>3</v>
      </c>
      <c r="S133" s="4">
        <v>3</v>
      </c>
      <c r="T133" s="5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</row>
    <row r="134" spans="1:30" x14ac:dyDescent="0.35">
      <c r="A134" s="38"/>
      <c r="B134" s="38"/>
      <c r="C134" s="28" t="s">
        <v>99</v>
      </c>
      <c r="D134" s="29"/>
      <c r="E134" s="30" t="s">
        <v>96</v>
      </c>
      <c r="F134" s="31"/>
      <c r="G134" s="4">
        <v>2</v>
      </c>
      <c r="H134" s="4">
        <v>2</v>
      </c>
      <c r="I134" s="4">
        <v>2</v>
      </c>
      <c r="J134" s="4">
        <v>2</v>
      </c>
      <c r="K134" s="4">
        <v>2</v>
      </c>
      <c r="L134" s="4">
        <v>2</v>
      </c>
      <c r="M134" s="4">
        <v>2</v>
      </c>
      <c r="N134" s="4">
        <v>2</v>
      </c>
      <c r="O134" s="4">
        <v>2</v>
      </c>
      <c r="P134" s="4">
        <v>2</v>
      </c>
      <c r="Q134" s="4">
        <v>2</v>
      </c>
      <c r="R134" s="4">
        <v>2</v>
      </c>
      <c r="S134" s="4">
        <v>2</v>
      </c>
      <c r="T134" s="4">
        <v>2</v>
      </c>
      <c r="U134" s="4">
        <v>2</v>
      </c>
      <c r="V134" s="5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</row>
    <row r="135" spans="1:30" x14ac:dyDescent="0.35">
      <c r="A135" s="38"/>
      <c r="B135" s="38"/>
      <c r="C135" s="28" t="s">
        <v>30</v>
      </c>
      <c r="D135" s="29"/>
      <c r="E135" s="30" t="s">
        <v>95</v>
      </c>
      <c r="F135" s="31"/>
      <c r="G135" s="4">
        <v>3</v>
      </c>
      <c r="H135" s="4">
        <v>3</v>
      </c>
      <c r="I135" s="4">
        <v>3</v>
      </c>
      <c r="J135" s="4">
        <v>3</v>
      </c>
      <c r="K135" s="4">
        <v>3</v>
      </c>
      <c r="L135" s="4">
        <v>3</v>
      </c>
      <c r="M135" s="4">
        <v>3</v>
      </c>
      <c r="N135" s="4">
        <v>3</v>
      </c>
      <c r="O135" s="4">
        <v>3</v>
      </c>
      <c r="P135" s="4">
        <v>3</v>
      </c>
      <c r="Q135" s="4">
        <v>3</v>
      </c>
      <c r="R135" s="4">
        <v>3</v>
      </c>
      <c r="S135" s="4">
        <v>3</v>
      </c>
      <c r="T135" s="4">
        <v>3</v>
      </c>
      <c r="U135" s="4">
        <v>3</v>
      </c>
      <c r="V135" s="4">
        <v>3</v>
      </c>
      <c r="W135" s="5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</row>
    <row r="136" spans="1:30" x14ac:dyDescent="0.35">
      <c r="A136" s="38"/>
      <c r="B136" s="38"/>
      <c r="C136" s="28" t="s">
        <v>264</v>
      </c>
      <c r="D136" s="29"/>
      <c r="E136" s="30" t="s">
        <v>96</v>
      </c>
      <c r="F136" s="31"/>
      <c r="G136" s="4">
        <v>3</v>
      </c>
      <c r="H136" s="4">
        <v>3</v>
      </c>
      <c r="I136" s="4">
        <v>3</v>
      </c>
      <c r="J136" s="4">
        <v>3</v>
      </c>
      <c r="K136" s="4">
        <v>3</v>
      </c>
      <c r="L136" s="4">
        <v>3</v>
      </c>
      <c r="M136" s="4">
        <v>3</v>
      </c>
      <c r="N136" s="4">
        <v>3</v>
      </c>
      <c r="O136" s="4">
        <v>3</v>
      </c>
      <c r="P136" s="4">
        <v>3</v>
      </c>
      <c r="Q136" s="4">
        <v>3</v>
      </c>
      <c r="R136" s="4">
        <v>3</v>
      </c>
      <c r="S136" s="4">
        <v>3</v>
      </c>
      <c r="T136" s="4">
        <v>3</v>
      </c>
      <c r="U136" s="4">
        <v>3</v>
      </c>
      <c r="V136" s="4">
        <v>3</v>
      </c>
      <c r="W136" s="4">
        <v>3</v>
      </c>
      <c r="X136" s="4">
        <v>3</v>
      </c>
      <c r="Y136" s="5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</row>
    <row r="137" spans="1:30" x14ac:dyDescent="0.35">
      <c r="A137" s="38"/>
      <c r="B137" s="38"/>
      <c r="C137" s="28" t="s">
        <v>31</v>
      </c>
      <c r="D137" s="29"/>
      <c r="E137" s="30" t="s">
        <v>95</v>
      </c>
      <c r="F137" s="31"/>
      <c r="G137" s="4">
        <v>2</v>
      </c>
      <c r="H137" s="4">
        <v>4</v>
      </c>
      <c r="I137" s="4">
        <v>2</v>
      </c>
      <c r="J137" s="4">
        <v>2</v>
      </c>
      <c r="K137" s="4">
        <v>2</v>
      </c>
      <c r="L137" s="4">
        <v>2</v>
      </c>
      <c r="M137" s="4">
        <v>2</v>
      </c>
      <c r="N137" s="4">
        <v>2</v>
      </c>
      <c r="O137" s="4">
        <v>2</v>
      </c>
      <c r="P137" s="4">
        <v>2</v>
      </c>
      <c r="Q137" s="4">
        <v>2</v>
      </c>
      <c r="R137" s="4">
        <v>2</v>
      </c>
      <c r="S137" s="4">
        <v>2</v>
      </c>
      <c r="T137" s="4">
        <v>2</v>
      </c>
      <c r="U137" s="4">
        <v>2</v>
      </c>
      <c r="V137" s="4">
        <v>2</v>
      </c>
      <c r="W137" s="4">
        <v>2</v>
      </c>
      <c r="X137" s="4">
        <v>2</v>
      </c>
      <c r="Y137" s="4">
        <v>2</v>
      </c>
      <c r="Z137" s="5">
        <v>0</v>
      </c>
      <c r="AA137" s="4">
        <v>0</v>
      </c>
      <c r="AB137" s="4">
        <v>0</v>
      </c>
      <c r="AC137" s="4">
        <v>0</v>
      </c>
      <c r="AD137" s="4">
        <v>0</v>
      </c>
    </row>
    <row r="138" spans="1:30" x14ac:dyDescent="0.35">
      <c r="A138" s="38"/>
      <c r="B138" s="38"/>
      <c r="C138" s="30"/>
      <c r="D138" s="31"/>
      <c r="E138" s="30"/>
      <c r="F138" s="3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6">
        <v>2</v>
      </c>
      <c r="AA138" s="4"/>
      <c r="AB138" s="4"/>
      <c r="AC138" s="4"/>
      <c r="AD138" s="4"/>
    </row>
    <row r="139" spans="1:30" x14ac:dyDescent="0.35">
      <c r="A139" s="38"/>
      <c r="B139" s="38"/>
      <c r="C139" s="28" t="s">
        <v>34</v>
      </c>
      <c r="D139" s="29"/>
      <c r="E139" s="30" t="s">
        <v>96</v>
      </c>
      <c r="F139" s="31"/>
      <c r="G139" s="4">
        <v>2</v>
      </c>
      <c r="H139" s="4">
        <v>4</v>
      </c>
      <c r="I139" s="4">
        <v>2</v>
      </c>
      <c r="J139" s="4">
        <v>2</v>
      </c>
      <c r="K139" s="4">
        <v>2</v>
      </c>
      <c r="L139" s="4">
        <v>2</v>
      </c>
      <c r="M139" s="4">
        <v>2</v>
      </c>
      <c r="N139" s="4">
        <v>2</v>
      </c>
      <c r="O139" s="4">
        <v>2</v>
      </c>
      <c r="P139" s="4">
        <v>2</v>
      </c>
      <c r="Q139" s="4">
        <v>2</v>
      </c>
      <c r="R139" s="4">
        <v>2</v>
      </c>
      <c r="S139" s="4">
        <v>2</v>
      </c>
      <c r="T139" s="4">
        <v>2</v>
      </c>
      <c r="U139" s="4">
        <v>2</v>
      </c>
      <c r="V139" s="4">
        <v>2</v>
      </c>
      <c r="W139" s="4">
        <v>2</v>
      </c>
      <c r="X139" s="4">
        <v>2</v>
      </c>
      <c r="Y139" s="4">
        <v>2</v>
      </c>
      <c r="Z139" s="4">
        <v>2</v>
      </c>
      <c r="AA139" s="5">
        <v>0</v>
      </c>
      <c r="AB139" s="4">
        <v>0</v>
      </c>
      <c r="AC139" s="4">
        <v>0</v>
      </c>
      <c r="AD139" s="4">
        <v>0</v>
      </c>
    </row>
    <row r="140" spans="1:30" x14ac:dyDescent="0.35">
      <c r="A140" s="38"/>
      <c r="B140" s="39"/>
      <c r="C140" s="30"/>
      <c r="D140" s="31"/>
      <c r="E140" s="30"/>
      <c r="F140" s="3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6">
        <v>2</v>
      </c>
      <c r="AB140" s="4"/>
      <c r="AC140" s="4"/>
      <c r="AD140" s="4"/>
    </row>
    <row r="141" spans="1:30" x14ac:dyDescent="0.35">
      <c r="A141" s="38"/>
      <c r="B141" s="27" t="s">
        <v>14</v>
      </c>
      <c r="C141" s="28" t="s">
        <v>74</v>
      </c>
      <c r="D141" s="29"/>
      <c r="E141" s="30" t="s">
        <v>94</v>
      </c>
      <c r="F141" s="31"/>
      <c r="G141" s="4">
        <v>7</v>
      </c>
      <c r="H141" s="4">
        <v>10</v>
      </c>
      <c r="I141" s="4">
        <v>7</v>
      </c>
      <c r="J141" s="5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</row>
    <row r="142" spans="1:30" x14ac:dyDescent="0.35">
      <c r="A142" s="38"/>
      <c r="B142" s="27"/>
      <c r="C142" s="30"/>
      <c r="D142" s="31"/>
      <c r="E142" s="30"/>
      <c r="F142" s="31"/>
      <c r="G142" s="4"/>
      <c r="H142" s="4"/>
      <c r="I142" s="4"/>
      <c r="J142" s="6">
        <v>3</v>
      </c>
      <c r="K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x14ac:dyDescent="0.35">
      <c r="A143" s="38"/>
      <c r="B143" s="27"/>
      <c r="C143" s="28" t="s">
        <v>36</v>
      </c>
      <c r="D143" s="29"/>
      <c r="E143" s="30" t="s">
        <v>103</v>
      </c>
      <c r="F143" s="31"/>
      <c r="G143" s="4">
        <v>5</v>
      </c>
      <c r="H143" s="4">
        <v>7</v>
      </c>
      <c r="I143" s="4">
        <v>5</v>
      </c>
      <c r="J143" s="5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</row>
    <row r="144" spans="1:30" x14ac:dyDescent="0.35">
      <c r="A144" s="38"/>
      <c r="B144" s="27"/>
      <c r="C144" s="30"/>
      <c r="D144" s="31"/>
      <c r="E144" s="30"/>
      <c r="F144" s="31"/>
      <c r="G144" s="4"/>
      <c r="H144" s="4"/>
      <c r="I144" s="4"/>
      <c r="J144" s="6">
        <v>2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x14ac:dyDescent="0.35">
      <c r="A145" s="38"/>
      <c r="B145" s="27"/>
      <c r="C145" s="28" t="s">
        <v>75</v>
      </c>
      <c r="D145" s="29"/>
      <c r="E145" s="30" t="s">
        <v>94</v>
      </c>
      <c r="F145" s="31"/>
      <c r="G145" s="4">
        <v>6</v>
      </c>
      <c r="H145" s="4">
        <v>10</v>
      </c>
      <c r="I145" s="4">
        <v>6</v>
      </c>
      <c r="J145" s="4">
        <v>6</v>
      </c>
      <c r="K145" s="4">
        <v>3</v>
      </c>
      <c r="L145" s="5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</row>
    <row r="146" spans="1:30" x14ac:dyDescent="0.35">
      <c r="A146" s="38"/>
      <c r="B146" s="27"/>
      <c r="C146" s="30"/>
      <c r="D146" s="31"/>
      <c r="E146" s="30"/>
      <c r="F146" s="31"/>
      <c r="G146" s="4"/>
      <c r="H146" s="4"/>
      <c r="I146" s="4"/>
      <c r="J146" s="4"/>
      <c r="K146" s="4"/>
      <c r="L146" s="6">
        <v>4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x14ac:dyDescent="0.35">
      <c r="A147" s="38"/>
      <c r="B147" s="27"/>
      <c r="C147" s="28" t="s">
        <v>35</v>
      </c>
      <c r="D147" s="29"/>
      <c r="E147" s="30" t="s">
        <v>104</v>
      </c>
      <c r="F147" s="31"/>
      <c r="G147" s="4">
        <v>4</v>
      </c>
      <c r="H147" s="4">
        <v>7</v>
      </c>
      <c r="I147" s="4">
        <v>4</v>
      </c>
      <c r="J147" s="4">
        <v>4</v>
      </c>
      <c r="K147" s="5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</row>
    <row r="148" spans="1:30" x14ac:dyDescent="0.35">
      <c r="A148" s="38"/>
      <c r="B148" s="27"/>
      <c r="C148" s="30"/>
      <c r="D148" s="31"/>
      <c r="E148" s="30"/>
      <c r="F148" s="31"/>
      <c r="G148" s="4"/>
      <c r="H148" s="4"/>
      <c r="I148" s="4"/>
      <c r="J148" s="4"/>
      <c r="K148" s="6">
        <v>3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x14ac:dyDescent="0.35">
      <c r="A149" s="38"/>
      <c r="B149" s="27"/>
      <c r="C149" s="28" t="s">
        <v>37</v>
      </c>
      <c r="D149" s="29"/>
      <c r="E149" s="30" t="s">
        <v>94</v>
      </c>
      <c r="F149" s="31"/>
      <c r="G149" s="4">
        <v>10</v>
      </c>
      <c r="H149" s="4">
        <v>10</v>
      </c>
      <c r="I149" s="4">
        <v>10</v>
      </c>
      <c r="J149" s="4">
        <v>10</v>
      </c>
      <c r="K149" s="4">
        <v>10</v>
      </c>
      <c r="L149" s="4">
        <v>10</v>
      </c>
      <c r="M149" s="4">
        <v>6</v>
      </c>
      <c r="N149" s="5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</row>
    <row r="150" spans="1:30" x14ac:dyDescent="0.35">
      <c r="A150" s="38"/>
      <c r="B150" s="27"/>
      <c r="C150" s="28" t="s">
        <v>282</v>
      </c>
      <c r="D150" s="29"/>
      <c r="E150" s="30" t="s">
        <v>103</v>
      </c>
      <c r="F150" s="31"/>
      <c r="G150" s="4">
        <v>7</v>
      </c>
      <c r="H150" s="4">
        <v>7</v>
      </c>
      <c r="I150" s="4">
        <v>7</v>
      </c>
      <c r="J150" s="4">
        <v>7</v>
      </c>
      <c r="K150" s="4">
        <v>7</v>
      </c>
      <c r="L150" s="4">
        <v>7</v>
      </c>
      <c r="M150" s="5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</row>
    <row r="151" spans="1:30" x14ac:dyDescent="0.35">
      <c r="A151" s="38"/>
      <c r="B151" s="27"/>
      <c r="C151" s="28" t="s">
        <v>106</v>
      </c>
      <c r="D151" s="29"/>
      <c r="E151" s="30" t="s">
        <v>94</v>
      </c>
      <c r="F151" s="31"/>
      <c r="G151" s="4">
        <v>8</v>
      </c>
      <c r="H151" s="4">
        <v>6</v>
      </c>
      <c r="I151" s="4">
        <v>8</v>
      </c>
      <c r="J151" s="4">
        <v>8</v>
      </c>
      <c r="K151" s="4">
        <v>8</v>
      </c>
      <c r="L151" s="4">
        <v>8</v>
      </c>
      <c r="M151" s="4">
        <v>8</v>
      </c>
      <c r="N151" s="4">
        <v>8</v>
      </c>
      <c r="O151" s="4">
        <v>4</v>
      </c>
      <c r="P151" s="5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</row>
    <row r="152" spans="1:30" x14ac:dyDescent="0.35">
      <c r="A152" s="38"/>
      <c r="B152" s="27"/>
      <c r="C152" s="30"/>
      <c r="D152" s="31"/>
      <c r="E152" s="30"/>
      <c r="F152" s="31"/>
      <c r="G152" s="4"/>
      <c r="H152" s="4"/>
      <c r="I152" s="4"/>
      <c r="J152" s="4"/>
      <c r="K152" s="4"/>
      <c r="L152" s="4"/>
      <c r="M152" s="4"/>
      <c r="N152" s="4"/>
      <c r="O152" s="4"/>
      <c r="P152" s="7">
        <v>2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x14ac:dyDescent="0.35">
      <c r="A153" s="38"/>
      <c r="B153" s="27"/>
      <c r="C153" s="28" t="s">
        <v>110</v>
      </c>
      <c r="D153" s="29"/>
      <c r="E153" s="30" t="s">
        <v>104</v>
      </c>
      <c r="F153" s="31"/>
      <c r="G153" s="4">
        <v>5</v>
      </c>
      <c r="H153" s="4">
        <v>5</v>
      </c>
      <c r="I153" s="4">
        <v>5</v>
      </c>
      <c r="J153" s="4">
        <v>5</v>
      </c>
      <c r="K153" s="4">
        <v>5</v>
      </c>
      <c r="L153" s="4">
        <v>5</v>
      </c>
      <c r="M153" s="4">
        <v>5</v>
      </c>
      <c r="N153" s="4">
        <v>5</v>
      </c>
      <c r="O153" s="4">
        <v>5</v>
      </c>
      <c r="P153" s="5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</row>
    <row r="154" spans="1:30" x14ac:dyDescent="0.35">
      <c r="A154" s="38"/>
      <c r="B154" s="27"/>
      <c r="C154" s="28" t="s">
        <v>107</v>
      </c>
      <c r="D154" s="29"/>
      <c r="E154" s="30" t="s">
        <v>94</v>
      </c>
      <c r="F154" s="31"/>
      <c r="G154" s="4">
        <v>20</v>
      </c>
      <c r="H154" s="4">
        <v>15</v>
      </c>
      <c r="I154" s="4">
        <v>20</v>
      </c>
      <c r="J154" s="4">
        <v>20</v>
      </c>
      <c r="K154" s="4">
        <v>20</v>
      </c>
      <c r="L154" s="4">
        <v>20</v>
      </c>
      <c r="M154" s="4">
        <v>20</v>
      </c>
      <c r="N154" s="4">
        <v>20</v>
      </c>
      <c r="O154" s="4">
        <v>20</v>
      </c>
      <c r="P154" s="4">
        <v>20</v>
      </c>
      <c r="Q154" s="4">
        <v>14</v>
      </c>
      <c r="R154" s="4">
        <v>5</v>
      </c>
      <c r="S154" s="5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</row>
    <row r="155" spans="1:30" x14ac:dyDescent="0.35">
      <c r="A155" s="38"/>
      <c r="B155" s="27"/>
      <c r="C155" s="30"/>
      <c r="D155" s="31"/>
      <c r="E155" s="30"/>
      <c r="F155" s="3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7">
        <v>5</v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x14ac:dyDescent="0.35">
      <c r="A156" s="38"/>
      <c r="B156" s="27"/>
      <c r="C156" s="28" t="s">
        <v>111</v>
      </c>
      <c r="D156" s="29"/>
      <c r="E156" s="30" t="s">
        <v>103</v>
      </c>
      <c r="F156" s="31"/>
      <c r="G156" s="4">
        <v>12</v>
      </c>
      <c r="H156" s="4">
        <v>10</v>
      </c>
      <c r="I156" s="4">
        <v>12</v>
      </c>
      <c r="J156" s="4">
        <v>12</v>
      </c>
      <c r="K156" s="4">
        <v>12</v>
      </c>
      <c r="L156" s="4">
        <v>12</v>
      </c>
      <c r="M156" s="4">
        <v>12</v>
      </c>
      <c r="N156" s="4">
        <v>12</v>
      </c>
      <c r="O156" s="4">
        <v>12</v>
      </c>
      <c r="P156" s="4">
        <v>12</v>
      </c>
      <c r="Q156" s="4">
        <v>3</v>
      </c>
      <c r="R156" s="5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</row>
    <row r="157" spans="1:30" x14ac:dyDescent="0.35">
      <c r="A157" s="38"/>
      <c r="B157" s="27"/>
      <c r="C157" s="30"/>
      <c r="D157" s="31"/>
      <c r="E157" s="30"/>
      <c r="F157" s="3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7">
        <v>2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x14ac:dyDescent="0.35">
      <c r="A158" s="38"/>
      <c r="B158" s="27"/>
      <c r="C158" s="28" t="s">
        <v>108</v>
      </c>
      <c r="D158" s="29"/>
      <c r="E158" s="30" t="s">
        <v>94</v>
      </c>
      <c r="F158" s="31"/>
      <c r="G158" s="4">
        <v>6</v>
      </c>
      <c r="H158" s="4">
        <v>8</v>
      </c>
      <c r="I158" s="4">
        <v>6</v>
      </c>
      <c r="J158" s="4">
        <v>6</v>
      </c>
      <c r="K158" s="4">
        <v>6</v>
      </c>
      <c r="L158" s="4">
        <v>6</v>
      </c>
      <c r="M158" s="4">
        <v>6</v>
      </c>
      <c r="N158" s="4">
        <v>6</v>
      </c>
      <c r="O158" s="4">
        <v>6</v>
      </c>
      <c r="P158" s="4">
        <v>6</v>
      </c>
      <c r="Q158" s="4">
        <v>6</v>
      </c>
      <c r="R158" s="4">
        <v>6</v>
      </c>
      <c r="S158" s="4">
        <v>2</v>
      </c>
      <c r="T158" s="5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</row>
    <row r="159" spans="1:30" x14ac:dyDescent="0.35">
      <c r="A159" s="38"/>
      <c r="B159" s="27"/>
      <c r="C159" s="30"/>
      <c r="D159" s="31"/>
      <c r="E159" s="30"/>
      <c r="F159" s="3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6">
        <v>2</v>
      </c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x14ac:dyDescent="0.35">
      <c r="A160" s="38"/>
      <c r="B160" s="27"/>
      <c r="C160" s="28" t="s">
        <v>109</v>
      </c>
      <c r="D160" s="29"/>
      <c r="E160" s="30" t="s">
        <v>104</v>
      </c>
      <c r="F160" s="31"/>
      <c r="G160" s="4">
        <v>4</v>
      </c>
      <c r="H160" s="4">
        <v>6</v>
      </c>
      <c r="I160" s="4">
        <v>4</v>
      </c>
      <c r="J160" s="4">
        <v>4</v>
      </c>
      <c r="K160" s="4">
        <v>4</v>
      </c>
      <c r="L160" s="4">
        <v>4</v>
      </c>
      <c r="M160" s="4">
        <v>4</v>
      </c>
      <c r="N160" s="4">
        <v>4</v>
      </c>
      <c r="O160" s="4">
        <v>4</v>
      </c>
      <c r="P160" s="4">
        <v>4</v>
      </c>
      <c r="Q160" s="4">
        <v>4</v>
      </c>
      <c r="R160" s="4">
        <v>4</v>
      </c>
      <c r="S160" s="5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</row>
    <row r="161" spans="1:30" x14ac:dyDescent="0.35">
      <c r="A161" s="38"/>
      <c r="B161" s="27"/>
      <c r="C161" s="30"/>
      <c r="D161" s="31"/>
      <c r="E161" s="30"/>
      <c r="F161" s="3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6">
        <v>2</v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x14ac:dyDescent="0.35">
      <c r="A162" s="38"/>
      <c r="B162" s="27"/>
      <c r="C162" s="28" t="s">
        <v>112</v>
      </c>
      <c r="D162" s="29"/>
      <c r="E162" s="30" t="s">
        <v>94</v>
      </c>
      <c r="F162" s="31"/>
      <c r="G162" s="4">
        <v>9</v>
      </c>
      <c r="H162" s="4">
        <v>6</v>
      </c>
      <c r="I162" s="4">
        <v>9</v>
      </c>
      <c r="J162" s="4">
        <v>9</v>
      </c>
      <c r="K162" s="4">
        <v>9</v>
      </c>
      <c r="L162" s="4">
        <v>9</v>
      </c>
      <c r="M162" s="4">
        <v>9</v>
      </c>
      <c r="N162" s="4">
        <v>9</v>
      </c>
      <c r="O162" s="4">
        <v>9</v>
      </c>
      <c r="P162" s="4">
        <v>9</v>
      </c>
      <c r="Q162" s="4">
        <v>9</v>
      </c>
      <c r="R162" s="4">
        <v>9</v>
      </c>
      <c r="S162" s="4">
        <v>9</v>
      </c>
      <c r="T162" s="4">
        <v>9</v>
      </c>
      <c r="U162" s="4">
        <v>2</v>
      </c>
      <c r="V162" s="5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</row>
    <row r="163" spans="1:30" x14ac:dyDescent="0.35">
      <c r="A163" s="38"/>
      <c r="B163" s="27"/>
      <c r="C163" s="30"/>
      <c r="D163" s="31"/>
      <c r="E163" s="30"/>
      <c r="F163" s="3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7">
        <v>3</v>
      </c>
      <c r="W163" s="4"/>
      <c r="X163" s="4"/>
      <c r="Y163" s="4"/>
      <c r="Z163" s="4"/>
      <c r="AA163" s="4"/>
      <c r="AB163" s="4"/>
      <c r="AC163" s="4"/>
      <c r="AD163" s="4"/>
    </row>
    <row r="164" spans="1:30" x14ac:dyDescent="0.35">
      <c r="A164" s="38"/>
      <c r="B164" s="27"/>
      <c r="C164" s="28" t="s">
        <v>38</v>
      </c>
      <c r="D164" s="29"/>
      <c r="E164" s="30" t="s">
        <v>103</v>
      </c>
      <c r="F164" s="31"/>
      <c r="G164" s="4">
        <v>9</v>
      </c>
      <c r="H164" s="4">
        <v>5</v>
      </c>
      <c r="I164" s="4">
        <v>9</v>
      </c>
      <c r="J164" s="4">
        <v>9</v>
      </c>
      <c r="K164" s="4">
        <v>9</v>
      </c>
      <c r="L164" s="4">
        <v>9</v>
      </c>
      <c r="M164" s="4">
        <v>9</v>
      </c>
      <c r="N164" s="4">
        <v>9</v>
      </c>
      <c r="O164" s="4">
        <v>9</v>
      </c>
      <c r="P164" s="4">
        <v>9</v>
      </c>
      <c r="Q164" s="4">
        <v>9</v>
      </c>
      <c r="R164" s="4">
        <v>9</v>
      </c>
      <c r="S164" s="4">
        <v>9</v>
      </c>
      <c r="T164" s="4">
        <v>9</v>
      </c>
      <c r="U164" s="5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</row>
    <row r="165" spans="1:30" x14ac:dyDescent="0.35">
      <c r="A165" s="38"/>
      <c r="B165" s="27"/>
      <c r="C165" s="30"/>
      <c r="D165" s="31"/>
      <c r="E165" s="30"/>
      <c r="F165" s="3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7">
        <v>4</v>
      </c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x14ac:dyDescent="0.35">
      <c r="A166" s="38"/>
      <c r="B166" s="27"/>
      <c r="C166" s="28" t="s">
        <v>113</v>
      </c>
      <c r="D166" s="29"/>
      <c r="E166" s="30" t="s">
        <v>94</v>
      </c>
      <c r="F166" s="31"/>
      <c r="G166" s="4">
        <v>10</v>
      </c>
      <c r="H166" s="4">
        <v>7</v>
      </c>
      <c r="I166" s="4">
        <v>10</v>
      </c>
      <c r="J166" s="4">
        <v>10</v>
      </c>
      <c r="K166" s="4">
        <v>10</v>
      </c>
      <c r="L166" s="4">
        <v>10</v>
      </c>
      <c r="M166" s="4">
        <v>10</v>
      </c>
      <c r="N166" s="4">
        <v>10</v>
      </c>
      <c r="O166" s="4">
        <v>10</v>
      </c>
      <c r="P166" s="4">
        <v>10</v>
      </c>
      <c r="Q166" s="4">
        <v>10</v>
      </c>
      <c r="R166" s="4">
        <v>10</v>
      </c>
      <c r="S166" s="4">
        <v>10</v>
      </c>
      <c r="T166" s="4">
        <v>10</v>
      </c>
      <c r="U166" s="4">
        <v>10</v>
      </c>
      <c r="V166" s="4">
        <v>1</v>
      </c>
      <c r="W166" s="5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</row>
    <row r="167" spans="1:30" x14ac:dyDescent="0.35">
      <c r="A167" s="38"/>
      <c r="B167" s="27"/>
      <c r="C167" s="30"/>
      <c r="D167" s="31"/>
      <c r="E167" s="30"/>
      <c r="F167" s="3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7">
        <v>3</v>
      </c>
      <c r="X167" s="4"/>
      <c r="Y167" s="4"/>
      <c r="Z167" s="4"/>
      <c r="AA167" s="4"/>
      <c r="AB167" s="4"/>
      <c r="AC167" s="4"/>
      <c r="AD167" s="4"/>
    </row>
    <row r="168" spans="1:30" x14ac:dyDescent="0.35">
      <c r="A168" s="38"/>
      <c r="B168" s="27"/>
      <c r="C168" s="28" t="s">
        <v>114</v>
      </c>
      <c r="D168" s="29"/>
      <c r="E168" s="30" t="s">
        <v>104</v>
      </c>
      <c r="F168" s="31"/>
      <c r="G168" s="4">
        <v>8</v>
      </c>
      <c r="H168" s="4">
        <v>5</v>
      </c>
      <c r="I168" s="4">
        <v>8</v>
      </c>
      <c r="J168" s="4">
        <v>8</v>
      </c>
      <c r="K168" s="4">
        <v>8</v>
      </c>
      <c r="L168" s="4">
        <v>8</v>
      </c>
      <c r="M168" s="4">
        <v>8</v>
      </c>
      <c r="N168" s="4">
        <v>8</v>
      </c>
      <c r="O168" s="4">
        <v>8</v>
      </c>
      <c r="P168" s="4">
        <v>8</v>
      </c>
      <c r="Q168" s="4">
        <v>8</v>
      </c>
      <c r="R168" s="4">
        <v>8</v>
      </c>
      <c r="S168" s="4">
        <v>8</v>
      </c>
      <c r="T168" s="4">
        <v>8</v>
      </c>
      <c r="U168" s="4">
        <v>8</v>
      </c>
      <c r="V168" s="5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</row>
    <row r="169" spans="1:30" x14ac:dyDescent="0.35">
      <c r="A169" s="38"/>
      <c r="B169" s="27"/>
      <c r="C169" s="30"/>
      <c r="D169" s="31"/>
      <c r="E169" s="30"/>
      <c r="F169" s="3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7">
        <v>3</v>
      </c>
      <c r="W169" s="4"/>
      <c r="X169" s="4"/>
      <c r="Y169" s="4"/>
      <c r="Z169" s="4"/>
      <c r="AA169" s="4"/>
      <c r="AB169" s="4"/>
      <c r="AC169" s="4"/>
      <c r="AD169" s="4"/>
    </row>
    <row r="170" spans="1:30" x14ac:dyDescent="0.35">
      <c r="A170" s="38"/>
      <c r="B170" s="27"/>
      <c r="C170" s="28" t="s">
        <v>115</v>
      </c>
      <c r="D170" s="29"/>
      <c r="E170" s="30" t="s">
        <v>94</v>
      </c>
      <c r="F170" s="31"/>
      <c r="G170" s="4">
        <v>6</v>
      </c>
      <c r="H170" s="4">
        <v>6</v>
      </c>
      <c r="I170" s="4">
        <v>6</v>
      </c>
      <c r="J170" s="4">
        <v>6</v>
      </c>
      <c r="K170" s="4">
        <v>6</v>
      </c>
      <c r="L170" s="4">
        <v>6</v>
      </c>
      <c r="M170" s="4">
        <v>6</v>
      </c>
      <c r="N170" s="4">
        <v>6</v>
      </c>
      <c r="O170" s="4">
        <v>6</v>
      </c>
      <c r="P170" s="4">
        <v>6</v>
      </c>
      <c r="Q170" s="4">
        <v>6</v>
      </c>
      <c r="R170" s="4">
        <v>6</v>
      </c>
      <c r="S170" s="4">
        <v>6</v>
      </c>
      <c r="T170" s="4">
        <v>6</v>
      </c>
      <c r="U170" s="4">
        <v>6</v>
      </c>
      <c r="V170" s="4">
        <v>6</v>
      </c>
      <c r="W170" s="5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</row>
    <row r="171" spans="1:30" x14ac:dyDescent="0.35">
      <c r="A171" s="38"/>
      <c r="B171" s="27"/>
      <c r="C171" s="28" t="s">
        <v>116</v>
      </c>
      <c r="D171" s="29"/>
      <c r="E171" s="30" t="s">
        <v>103</v>
      </c>
      <c r="F171" s="31"/>
      <c r="G171" s="4">
        <v>4</v>
      </c>
      <c r="H171" s="4">
        <v>4</v>
      </c>
      <c r="I171" s="4">
        <v>4</v>
      </c>
      <c r="J171" s="4">
        <v>4</v>
      </c>
      <c r="K171" s="4">
        <v>4</v>
      </c>
      <c r="L171" s="4">
        <v>4</v>
      </c>
      <c r="M171" s="4">
        <v>4</v>
      </c>
      <c r="N171" s="4">
        <v>4</v>
      </c>
      <c r="O171" s="4">
        <v>4</v>
      </c>
      <c r="P171" s="4">
        <v>4</v>
      </c>
      <c r="Q171" s="4">
        <v>4</v>
      </c>
      <c r="R171" s="4">
        <v>4</v>
      </c>
      <c r="S171" s="4">
        <v>4</v>
      </c>
      <c r="T171" s="4">
        <v>4</v>
      </c>
      <c r="U171" s="4">
        <v>4</v>
      </c>
      <c r="V171" s="4">
        <v>4</v>
      </c>
      <c r="W171" s="5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</row>
    <row r="172" spans="1:30" x14ac:dyDescent="0.35">
      <c r="A172" s="38"/>
      <c r="B172" s="27"/>
      <c r="C172" s="28" t="s">
        <v>79</v>
      </c>
      <c r="D172" s="29"/>
      <c r="E172" s="30" t="s">
        <v>94</v>
      </c>
      <c r="F172" s="31"/>
      <c r="G172" s="4">
        <v>6</v>
      </c>
      <c r="H172" s="4">
        <v>8</v>
      </c>
      <c r="I172" s="4">
        <v>6</v>
      </c>
      <c r="J172" s="4">
        <v>6</v>
      </c>
      <c r="K172" s="4">
        <v>6</v>
      </c>
      <c r="L172" s="4">
        <v>6</v>
      </c>
      <c r="M172" s="4">
        <v>6</v>
      </c>
      <c r="N172" s="4">
        <v>6</v>
      </c>
      <c r="O172" s="4">
        <v>6</v>
      </c>
      <c r="P172" s="4">
        <v>6</v>
      </c>
      <c r="Q172" s="4">
        <v>6</v>
      </c>
      <c r="R172" s="4">
        <v>6</v>
      </c>
      <c r="S172" s="4">
        <v>6</v>
      </c>
      <c r="T172" s="4">
        <v>6</v>
      </c>
      <c r="U172" s="4">
        <v>6</v>
      </c>
      <c r="V172" s="4">
        <v>6</v>
      </c>
      <c r="W172" s="4">
        <v>6</v>
      </c>
      <c r="X172" s="4">
        <v>3</v>
      </c>
      <c r="Y172" s="5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</row>
    <row r="173" spans="1:30" x14ac:dyDescent="0.35">
      <c r="A173" s="38"/>
      <c r="B173" s="27"/>
      <c r="C173" s="30"/>
      <c r="D173" s="31"/>
      <c r="E173" s="30"/>
      <c r="F173" s="3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6">
        <v>2</v>
      </c>
      <c r="Z173" s="4"/>
      <c r="AA173" s="4"/>
      <c r="AB173" s="4"/>
      <c r="AC173" s="4"/>
      <c r="AD173" s="4"/>
    </row>
    <row r="174" spans="1:30" x14ac:dyDescent="0.35">
      <c r="A174" s="38"/>
      <c r="B174" s="27"/>
      <c r="C174" s="28" t="s">
        <v>83</v>
      </c>
      <c r="D174" s="29"/>
      <c r="E174" s="30" t="s">
        <v>104</v>
      </c>
      <c r="F174" s="31"/>
      <c r="G174" s="4">
        <v>4</v>
      </c>
      <c r="H174" s="4">
        <v>6</v>
      </c>
      <c r="I174" s="4">
        <v>4</v>
      </c>
      <c r="J174" s="4">
        <v>4</v>
      </c>
      <c r="K174" s="4">
        <v>4</v>
      </c>
      <c r="L174" s="4">
        <v>4</v>
      </c>
      <c r="M174" s="4">
        <v>4</v>
      </c>
      <c r="N174" s="4">
        <v>4</v>
      </c>
      <c r="O174" s="4">
        <v>4</v>
      </c>
      <c r="P174" s="4">
        <v>4</v>
      </c>
      <c r="Q174" s="4">
        <v>4</v>
      </c>
      <c r="R174" s="4">
        <v>4</v>
      </c>
      <c r="S174" s="4">
        <v>4</v>
      </c>
      <c r="T174" s="4">
        <v>4</v>
      </c>
      <c r="U174" s="4">
        <v>4</v>
      </c>
      <c r="V174" s="4">
        <v>4</v>
      </c>
      <c r="W174" s="4">
        <v>4</v>
      </c>
      <c r="X174" s="5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</row>
    <row r="175" spans="1:30" x14ac:dyDescent="0.35">
      <c r="A175" s="38"/>
      <c r="B175" s="27"/>
      <c r="C175" s="30"/>
      <c r="D175" s="31"/>
      <c r="E175" s="30"/>
      <c r="F175" s="3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>
        <v>2</v>
      </c>
      <c r="Y175" s="4"/>
      <c r="Z175" s="4"/>
      <c r="AA175" s="4"/>
      <c r="AB175" s="4"/>
      <c r="AC175" s="4"/>
      <c r="AD175" s="4"/>
    </row>
    <row r="176" spans="1:30" x14ac:dyDescent="0.35">
      <c r="A176" s="38"/>
      <c r="B176" s="27"/>
      <c r="C176" s="28" t="s">
        <v>265</v>
      </c>
      <c r="D176" s="29"/>
      <c r="E176" s="30" t="s">
        <v>94</v>
      </c>
      <c r="F176" s="31"/>
      <c r="G176" s="4">
        <v>7</v>
      </c>
      <c r="H176" s="4">
        <v>8</v>
      </c>
      <c r="I176" s="4">
        <v>7</v>
      </c>
      <c r="J176" s="4">
        <v>7</v>
      </c>
      <c r="K176" s="4">
        <v>7</v>
      </c>
      <c r="L176" s="4">
        <v>7</v>
      </c>
      <c r="M176" s="4">
        <v>7</v>
      </c>
      <c r="N176" s="4">
        <v>7</v>
      </c>
      <c r="O176" s="4">
        <v>7</v>
      </c>
      <c r="P176" s="4">
        <v>7</v>
      </c>
      <c r="Q176" s="4">
        <v>7</v>
      </c>
      <c r="R176" s="4">
        <v>7</v>
      </c>
      <c r="S176" s="4">
        <v>7</v>
      </c>
      <c r="T176" s="4">
        <v>7</v>
      </c>
      <c r="U176" s="4">
        <v>7</v>
      </c>
      <c r="V176" s="4">
        <v>7</v>
      </c>
      <c r="W176" s="4">
        <v>7</v>
      </c>
      <c r="X176" s="4">
        <v>7</v>
      </c>
      <c r="Y176" s="4">
        <v>1</v>
      </c>
      <c r="Z176" s="5">
        <v>0</v>
      </c>
      <c r="AA176" s="4">
        <v>0</v>
      </c>
      <c r="AB176" s="4">
        <v>0</v>
      </c>
      <c r="AC176" s="4">
        <v>0</v>
      </c>
      <c r="AD176" s="4">
        <v>0</v>
      </c>
    </row>
    <row r="177" spans="1:30" x14ac:dyDescent="0.35">
      <c r="A177" s="38"/>
      <c r="B177" s="27"/>
      <c r="C177" s="30"/>
      <c r="D177" s="31"/>
      <c r="E177" s="30"/>
      <c r="F177" s="3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6">
        <v>1</v>
      </c>
      <c r="AA177" s="4"/>
      <c r="AB177" s="4"/>
      <c r="AC177" s="4"/>
      <c r="AD177" s="4"/>
    </row>
    <row r="178" spans="1:30" x14ac:dyDescent="0.35">
      <c r="A178" s="38"/>
      <c r="B178" s="27"/>
      <c r="C178" s="28" t="s">
        <v>266</v>
      </c>
      <c r="D178" s="29"/>
      <c r="E178" s="30" t="s">
        <v>103</v>
      </c>
      <c r="F178" s="31"/>
      <c r="G178" s="4">
        <v>6</v>
      </c>
      <c r="H178" s="4">
        <v>6</v>
      </c>
      <c r="I178" s="4">
        <v>6</v>
      </c>
      <c r="J178" s="4">
        <v>6</v>
      </c>
      <c r="K178" s="4">
        <v>6</v>
      </c>
      <c r="L178" s="4">
        <v>6</v>
      </c>
      <c r="M178" s="4">
        <v>6</v>
      </c>
      <c r="N178" s="4">
        <v>6</v>
      </c>
      <c r="O178" s="4">
        <v>6</v>
      </c>
      <c r="P178" s="4">
        <v>6</v>
      </c>
      <c r="Q178" s="4">
        <v>6</v>
      </c>
      <c r="R178" s="4">
        <v>6</v>
      </c>
      <c r="S178" s="4">
        <v>6</v>
      </c>
      <c r="T178" s="4">
        <v>6</v>
      </c>
      <c r="U178" s="4">
        <v>6</v>
      </c>
      <c r="V178" s="4">
        <v>6</v>
      </c>
      <c r="W178" s="4">
        <v>6</v>
      </c>
      <c r="X178" s="4">
        <v>6</v>
      </c>
      <c r="Y178" s="5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</row>
    <row r="179" spans="1:30" x14ac:dyDescent="0.35">
      <c r="A179" s="38"/>
      <c r="B179" s="27"/>
      <c r="C179" s="28" t="s">
        <v>80</v>
      </c>
      <c r="D179" s="29"/>
      <c r="E179" s="30" t="s">
        <v>94</v>
      </c>
      <c r="F179" s="31"/>
      <c r="G179" s="4">
        <v>9</v>
      </c>
      <c r="H179" s="4">
        <v>9</v>
      </c>
      <c r="I179" s="4">
        <v>9</v>
      </c>
      <c r="J179" s="4">
        <v>9</v>
      </c>
      <c r="K179" s="4">
        <v>9</v>
      </c>
      <c r="L179" s="4">
        <v>9</v>
      </c>
      <c r="M179" s="4">
        <v>9</v>
      </c>
      <c r="N179" s="4">
        <v>9</v>
      </c>
      <c r="O179" s="4">
        <v>9</v>
      </c>
      <c r="P179" s="4">
        <v>9</v>
      </c>
      <c r="Q179" s="4">
        <v>9</v>
      </c>
      <c r="R179" s="4">
        <v>9</v>
      </c>
      <c r="S179" s="4">
        <v>9</v>
      </c>
      <c r="T179" s="4">
        <v>9</v>
      </c>
      <c r="U179" s="4">
        <v>9</v>
      </c>
      <c r="V179" s="4">
        <v>9</v>
      </c>
      <c r="W179" s="4">
        <v>9</v>
      </c>
      <c r="X179" s="4">
        <v>9</v>
      </c>
      <c r="Y179" s="4">
        <v>9</v>
      </c>
      <c r="Z179" s="4">
        <v>4</v>
      </c>
      <c r="AA179" s="5">
        <v>0</v>
      </c>
      <c r="AB179" s="4">
        <v>0</v>
      </c>
      <c r="AC179" s="4">
        <v>0</v>
      </c>
      <c r="AD179" s="4">
        <v>0</v>
      </c>
    </row>
    <row r="180" spans="1:30" x14ac:dyDescent="0.35">
      <c r="A180" s="38"/>
      <c r="B180" s="27"/>
      <c r="C180" s="28" t="s">
        <v>84</v>
      </c>
      <c r="D180" s="29"/>
      <c r="E180" s="30" t="s">
        <v>104</v>
      </c>
      <c r="F180" s="31"/>
      <c r="G180" s="4">
        <v>7</v>
      </c>
      <c r="H180" s="4">
        <v>7</v>
      </c>
      <c r="I180" s="4">
        <v>7</v>
      </c>
      <c r="J180" s="4">
        <v>7</v>
      </c>
      <c r="K180" s="4">
        <v>7</v>
      </c>
      <c r="L180" s="4">
        <v>7</v>
      </c>
      <c r="M180" s="4">
        <v>7</v>
      </c>
      <c r="N180" s="4">
        <v>7</v>
      </c>
      <c r="O180" s="4">
        <v>7</v>
      </c>
      <c r="P180" s="4">
        <v>7</v>
      </c>
      <c r="Q180" s="4">
        <v>7</v>
      </c>
      <c r="R180" s="4">
        <v>7</v>
      </c>
      <c r="S180" s="4">
        <v>7</v>
      </c>
      <c r="T180" s="4">
        <v>7</v>
      </c>
      <c r="U180" s="4">
        <v>7</v>
      </c>
      <c r="V180" s="4">
        <v>7</v>
      </c>
      <c r="W180" s="4">
        <v>7</v>
      </c>
      <c r="X180" s="4">
        <v>7</v>
      </c>
      <c r="Y180" s="4">
        <v>7</v>
      </c>
      <c r="Z180" s="5">
        <v>0</v>
      </c>
      <c r="AA180" s="4">
        <v>0</v>
      </c>
      <c r="AB180" s="4">
        <v>0</v>
      </c>
      <c r="AC180" s="4">
        <v>0</v>
      </c>
      <c r="AD180" s="4">
        <v>0</v>
      </c>
    </row>
    <row r="181" spans="1:30" x14ac:dyDescent="0.35">
      <c r="A181" s="38"/>
      <c r="B181" s="27"/>
      <c r="C181" s="28" t="s">
        <v>86</v>
      </c>
      <c r="D181" s="29"/>
      <c r="E181" s="30" t="s">
        <v>94</v>
      </c>
      <c r="F181" s="31"/>
      <c r="G181" s="4">
        <v>9</v>
      </c>
      <c r="H181" s="4">
        <v>9</v>
      </c>
      <c r="I181" s="4">
        <v>9</v>
      </c>
      <c r="J181" s="4">
        <v>9</v>
      </c>
      <c r="K181" s="4">
        <v>9</v>
      </c>
      <c r="L181" s="4">
        <v>9</v>
      </c>
      <c r="M181" s="4">
        <v>9</v>
      </c>
      <c r="N181" s="4">
        <v>9</v>
      </c>
      <c r="O181" s="4">
        <v>9</v>
      </c>
      <c r="P181" s="4">
        <v>9</v>
      </c>
      <c r="Q181" s="4">
        <v>9</v>
      </c>
      <c r="R181" s="4">
        <v>9</v>
      </c>
      <c r="S181" s="4">
        <v>9</v>
      </c>
      <c r="T181" s="4">
        <v>9</v>
      </c>
      <c r="U181" s="4">
        <v>9</v>
      </c>
      <c r="V181" s="4">
        <v>9</v>
      </c>
      <c r="W181" s="4">
        <v>9</v>
      </c>
      <c r="X181" s="4">
        <v>9</v>
      </c>
      <c r="Y181" s="4">
        <v>9</v>
      </c>
      <c r="Z181" s="4">
        <v>9</v>
      </c>
      <c r="AA181" s="4">
        <v>4</v>
      </c>
      <c r="AB181" s="5">
        <v>0</v>
      </c>
      <c r="AC181" s="4">
        <v>0</v>
      </c>
      <c r="AD181" s="4">
        <v>0</v>
      </c>
    </row>
    <row r="182" spans="1:30" x14ac:dyDescent="0.35">
      <c r="A182" s="38"/>
      <c r="B182" s="27"/>
      <c r="C182" s="28" t="s">
        <v>85</v>
      </c>
      <c r="D182" s="29"/>
      <c r="E182" s="30" t="s">
        <v>103</v>
      </c>
      <c r="F182" s="31"/>
      <c r="G182" s="4">
        <v>7</v>
      </c>
      <c r="H182" s="4">
        <v>7</v>
      </c>
      <c r="I182" s="4">
        <v>7</v>
      </c>
      <c r="J182" s="4">
        <v>7</v>
      </c>
      <c r="K182" s="4">
        <v>7</v>
      </c>
      <c r="L182" s="4">
        <v>7</v>
      </c>
      <c r="M182" s="4">
        <v>7</v>
      </c>
      <c r="N182" s="4">
        <v>7</v>
      </c>
      <c r="O182" s="4">
        <v>7</v>
      </c>
      <c r="P182" s="4">
        <v>7</v>
      </c>
      <c r="Q182" s="4">
        <v>7</v>
      </c>
      <c r="R182" s="4">
        <v>7</v>
      </c>
      <c r="S182" s="4">
        <v>7</v>
      </c>
      <c r="T182" s="4">
        <v>7</v>
      </c>
      <c r="U182" s="4">
        <v>7</v>
      </c>
      <c r="V182" s="4">
        <v>7</v>
      </c>
      <c r="W182" s="4">
        <v>7</v>
      </c>
      <c r="X182" s="4">
        <v>7</v>
      </c>
      <c r="Y182" s="4">
        <v>7</v>
      </c>
      <c r="Z182" s="4">
        <v>7</v>
      </c>
      <c r="AA182" s="5">
        <v>0</v>
      </c>
      <c r="AB182" s="4">
        <v>0</v>
      </c>
      <c r="AC182" s="4">
        <v>0</v>
      </c>
      <c r="AD182" s="4">
        <v>0</v>
      </c>
    </row>
    <row r="183" spans="1:30" x14ac:dyDescent="0.35">
      <c r="A183" s="38"/>
      <c r="B183" s="27" t="s">
        <v>15</v>
      </c>
      <c r="C183" s="28" t="s">
        <v>40</v>
      </c>
      <c r="D183" s="29"/>
      <c r="E183" s="30" t="s">
        <v>96</v>
      </c>
      <c r="F183" s="31"/>
      <c r="G183" s="4">
        <v>4</v>
      </c>
      <c r="H183" s="4">
        <v>4</v>
      </c>
      <c r="I183" s="4">
        <v>4</v>
      </c>
      <c r="J183" s="4">
        <v>4</v>
      </c>
      <c r="K183" s="5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</row>
    <row r="184" spans="1:30" x14ac:dyDescent="0.35">
      <c r="A184" s="38"/>
      <c r="B184" s="27"/>
      <c r="C184" s="28" t="s">
        <v>39</v>
      </c>
      <c r="D184" s="29"/>
      <c r="E184" s="30" t="s">
        <v>95</v>
      </c>
      <c r="F184" s="31"/>
      <c r="G184" s="4">
        <v>3</v>
      </c>
      <c r="H184" s="4">
        <v>4</v>
      </c>
      <c r="I184" s="4">
        <v>3</v>
      </c>
      <c r="J184" s="4">
        <v>3</v>
      </c>
      <c r="K184" s="4">
        <v>3</v>
      </c>
      <c r="L184" s="5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</row>
    <row r="185" spans="1:30" x14ac:dyDescent="0.35">
      <c r="A185" s="38"/>
      <c r="B185" s="27"/>
      <c r="C185" s="30"/>
      <c r="D185" s="31"/>
      <c r="E185" s="30"/>
      <c r="F185" s="31"/>
      <c r="G185" s="4"/>
      <c r="H185" s="4"/>
      <c r="I185" s="4"/>
      <c r="J185" s="4"/>
      <c r="K185" s="4"/>
      <c r="L185" s="6">
        <v>1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x14ac:dyDescent="0.35">
      <c r="A186" s="38"/>
      <c r="B186" s="27"/>
      <c r="C186" s="28" t="s">
        <v>41</v>
      </c>
      <c r="D186" s="29"/>
      <c r="E186" s="30" t="s">
        <v>96</v>
      </c>
      <c r="F186" s="31"/>
      <c r="G186" s="4">
        <v>4</v>
      </c>
      <c r="H186" s="4">
        <v>4</v>
      </c>
      <c r="I186" s="4">
        <v>4</v>
      </c>
      <c r="J186" s="4">
        <v>4</v>
      </c>
      <c r="K186" s="4">
        <v>4</v>
      </c>
      <c r="L186" s="4">
        <v>4</v>
      </c>
      <c r="M186" s="4">
        <v>4</v>
      </c>
      <c r="N186" s="4">
        <v>4</v>
      </c>
      <c r="O186" s="5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</row>
    <row r="187" spans="1:30" x14ac:dyDescent="0.35">
      <c r="A187" s="38"/>
      <c r="B187" s="27"/>
      <c r="C187" s="28" t="s">
        <v>117</v>
      </c>
      <c r="D187" s="29"/>
      <c r="E187" s="30" t="s">
        <v>95</v>
      </c>
      <c r="F187" s="31"/>
      <c r="G187" s="4">
        <v>3</v>
      </c>
      <c r="H187" s="4">
        <v>3</v>
      </c>
      <c r="I187" s="4">
        <v>3</v>
      </c>
      <c r="J187" s="4">
        <v>3</v>
      </c>
      <c r="K187" s="4">
        <v>3</v>
      </c>
      <c r="L187" s="4">
        <v>3</v>
      </c>
      <c r="M187" s="4">
        <v>3</v>
      </c>
      <c r="N187" s="4">
        <v>3</v>
      </c>
      <c r="O187" s="4">
        <v>3</v>
      </c>
      <c r="P187" s="4">
        <v>3</v>
      </c>
      <c r="Q187" s="5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</row>
    <row r="188" spans="1:30" x14ac:dyDescent="0.35">
      <c r="A188" s="38"/>
      <c r="B188" s="27"/>
      <c r="C188" s="28" t="s">
        <v>118</v>
      </c>
      <c r="D188" s="29"/>
      <c r="E188" s="30" t="s">
        <v>96</v>
      </c>
      <c r="F188" s="31"/>
      <c r="G188" s="4">
        <v>5</v>
      </c>
      <c r="H188" s="4">
        <v>5</v>
      </c>
      <c r="I188" s="4">
        <v>5</v>
      </c>
      <c r="J188" s="4">
        <v>5</v>
      </c>
      <c r="K188" s="4">
        <v>5</v>
      </c>
      <c r="L188" s="4">
        <v>5</v>
      </c>
      <c r="M188" s="4">
        <v>5</v>
      </c>
      <c r="N188" s="4">
        <v>5</v>
      </c>
      <c r="O188" s="4">
        <v>5</v>
      </c>
      <c r="P188" s="4">
        <v>5</v>
      </c>
      <c r="Q188" s="4">
        <v>5</v>
      </c>
      <c r="R188" s="4">
        <v>5</v>
      </c>
      <c r="S188" s="5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</row>
    <row r="189" spans="1:30" x14ac:dyDescent="0.35">
      <c r="A189" s="38"/>
      <c r="B189" s="27"/>
      <c r="C189" s="28" t="s">
        <v>119</v>
      </c>
      <c r="D189" s="29"/>
      <c r="E189" s="30" t="s">
        <v>95</v>
      </c>
      <c r="F189" s="31"/>
      <c r="G189" s="4">
        <v>3</v>
      </c>
      <c r="H189" s="4">
        <v>3</v>
      </c>
      <c r="I189" s="4">
        <v>3</v>
      </c>
      <c r="J189" s="4">
        <v>3</v>
      </c>
      <c r="K189" s="4">
        <v>3</v>
      </c>
      <c r="L189" s="4">
        <v>3</v>
      </c>
      <c r="M189" s="4">
        <v>3</v>
      </c>
      <c r="N189" s="4">
        <v>3</v>
      </c>
      <c r="O189" s="4">
        <v>3</v>
      </c>
      <c r="P189" s="4">
        <v>3</v>
      </c>
      <c r="Q189" s="4">
        <v>3</v>
      </c>
      <c r="R189" s="4">
        <v>3</v>
      </c>
      <c r="S189" s="4">
        <v>3</v>
      </c>
      <c r="T189" s="5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</row>
    <row r="190" spans="1:30" x14ac:dyDescent="0.35">
      <c r="A190" s="38"/>
      <c r="B190" s="27"/>
      <c r="C190" s="28" t="s">
        <v>120</v>
      </c>
      <c r="D190" s="29"/>
      <c r="E190" s="30" t="s">
        <v>96</v>
      </c>
      <c r="F190" s="31"/>
      <c r="G190" s="4">
        <v>5</v>
      </c>
      <c r="H190" s="4">
        <v>3</v>
      </c>
      <c r="I190" s="4">
        <v>5</v>
      </c>
      <c r="J190" s="4">
        <v>5</v>
      </c>
      <c r="K190" s="4">
        <v>5</v>
      </c>
      <c r="L190" s="4">
        <v>5</v>
      </c>
      <c r="M190" s="4">
        <v>5</v>
      </c>
      <c r="N190" s="4">
        <v>5</v>
      </c>
      <c r="O190" s="4">
        <v>5</v>
      </c>
      <c r="P190" s="4">
        <v>5</v>
      </c>
      <c r="Q190" s="4">
        <v>5</v>
      </c>
      <c r="R190" s="4">
        <v>5</v>
      </c>
      <c r="S190" s="4">
        <v>5</v>
      </c>
      <c r="T190" s="4">
        <v>5</v>
      </c>
      <c r="U190" s="4">
        <v>5</v>
      </c>
      <c r="V190" s="5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</row>
    <row r="191" spans="1:30" x14ac:dyDescent="0.35">
      <c r="A191" s="38"/>
      <c r="B191" s="27"/>
      <c r="C191" s="30"/>
      <c r="D191" s="31"/>
      <c r="E191" s="30"/>
      <c r="F191" s="3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7">
        <v>2</v>
      </c>
      <c r="W191" s="4"/>
      <c r="X191" s="4"/>
      <c r="Y191" s="4"/>
      <c r="Z191" s="4"/>
      <c r="AA191" s="4"/>
      <c r="AB191" s="4"/>
      <c r="AC191" s="4"/>
      <c r="AD191" s="4"/>
    </row>
    <row r="192" spans="1:30" x14ac:dyDescent="0.35">
      <c r="A192" s="38"/>
      <c r="B192" s="27"/>
      <c r="C192" s="28" t="s">
        <v>121</v>
      </c>
      <c r="D192" s="29"/>
      <c r="E192" s="30" t="s">
        <v>95</v>
      </c>
      <c r="F192" s="31"/>
      <c r="G192" s="4">
        <v>3</v>
      </c>
      <c r="H192" s="4">
        <v>3</v>
      </c>
      <c r="I192" s="4">
        <v>3</v>
      </c>
      <c r="J192" s="4">
        <v>3</v>
      </c>
      <c r="K192" s="4">
        <v>3</v>
      </c>
      <c r="L192" s="4">
        <v>3</v>
      </c>
      <c r="M192" s="4">
        <v>3</v>
      </c>
      <c r="N192" s="4">
        <v>3</v>
      </c>
      <c r="O192" s="4">
        <v>3</v>
      </c>
      <c r="P192" s="4">
        <v>3</v>
      </c>
      <c r="Q192" s="4">
        <v>3</v>
      </c>
      <c r="R192" s="4">
        <v>3</v>
      </c>
      <c r="S192" s="4">
        <v>3</v>
      </c>
      <c r="T192" s="4">
        <v>3</v>
      </c>
      <c r="U192" s="4">
        <v>3</v>
      </c>
      <c r="V192" s="4">
        <v>3</v>
      </c>
      <c r="W192" s="5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</row>
    <row r="193" spans="1:30" x14ac:dyDescent="0.35">
      <c r="A193" s="38"/>
      <c r="B193" s="27"/>
      <c r="C193" s="28" t="s">
        <v>122</v>
      </c>
      <c r="D193" s="29"/>
      <c r="E193" s="30" t="s">
        <v>96</v>
      </c>
      <c r="F193" s="31"/>
      <c r="G193" s="4">
        <v>2</v>
      </c>
      <c r="H193" s="4">
        <v>2</v>
      </c>
      <c r="I193" s="4">
        <v>2</v>
      </c>
      <c r="J193" s="4">
        <v>2</v>
      </c>
      <c r="K193" s="4">
        <v>2</v>
      </c>
      <c r="L193" s="4">
        <v>2</v>
      </c>
      <c r="M193" s="4">
        <v>2</v>
      </c>
      <c r="N193" s="4">
        <v>2</v>
      </c>
      <c r="O193" s="4">
        <v>2</v>
      </c>
      <c r="P193" s="4">
        <v>2</v>
      </c>
      <c r="Q193" s="4">
        <v>2</v>
      </c>
      <c r="R193" s="4">
        <v>2</v>
      </c>
      <c r="S193" s="4">
        <v>2</v>
      </c>
      <c r="T193" s="4">
        <v>2</v>
      </c>
      <c r="U193" s="4">
        <v>2</v>
      </c>
      <c r="V193" s="4">
        <v>2</v>
      </c>
      <c r="W193" s="4">
        <v>2</v>
      </c>
      <c r="X193" s="5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</row>
    <row r="194" spans="1:30" x14ac:dyDescent="0.35">
      <c r="A194" s="38"/>
      <c r="B194" s="27"/>
      <c r="C194" s="28" t="s">
        <v>45</v>
      </c>
      <c r="D194" s="29"/>
      <c r="E194" s="30" t="s">
        <v>95</v>
      </c>
      <c r="F194" s="31"/>
      <c r="G194" s="4">
        <v>3</v>
      </c>
      <c r="H194" s="4">
        <v>3</v>
      </c>
      <c r="I194" s="4">
        <v>3</v>
      </c>
      <c r="J194" s="4">
        <v>3</v>
      </c>
      <c r="K194" s="4">
        <v>3</v>
      </c>
      <c r="L194" s="4">
        <v>3</v>
      </c>
      <c r="M194" s="4">
        <v>3</v>
      </c>
      <c r="N194" s="4">
        <v>3</v>
      </c>
      <c r="O194" s="4">
        <v>3</v>
      </c>
      <c r="P194" s="4">
        <v>3</v>
      </c>
      <c r="Q194" s="4">
        <v>3</v>
      </c>
      <c r="R194" s="4">
        <v>3</v>
      </c>
      <c r="S194" s="4">
        <v>3</v>
      </c>
      <c r="T194" s="4">
        <v>3</v>
      </c>
      <c r="U194" s="4">
        <v>3</v>
      </c>
      <c r="V194" s="4">
        <v>3</v>
      </c>
      <c r="W194" s="4">
        <v>3</v>
      </c>
      <c r="X194" s="4">
        <v>3</v>
      </c>
      <c r="Y194" s="5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</row>
    <row r="195" spans="1:30" x14ac:dyDescent="0.35">
      <c r="A195" s="38"/>
      <c r="B195" s="27"/>
      <c r="C195" s="28" t="s">
        <v>267</v>
      </c>
      <c r="D195" s="29"/>
      <c r="E195" s="30" t="s">
        <v>96</v>
      </c>
      <c r="F195" s="31"/>
      <c r="G195" s="4">
        <v>3</v>
      </c>
      <c r="H195" s="4">
        <v>3</v>
      </c>
      <c r="I195" s="4">
        <v>3</v>
      </c>
      <c r="J195" s="4">
        <v>3</v>
      </c>
      <c r="K195" s="4">
        <v>3</v>
      </c>
      <c r="L195" s="4">
        <v>3</v>
      </c>
      <c r="M195" s="4">
        <v>3</v>
      </c>
      <c r="N195" s="4">
        <v>3</v>
      </c>
      <c r="O195" s="4">
        <v>3</v>
      </c>
      <c r="P195" s="4">
        <v>3</v>
      </c>
      <c r="Q195" s="4">
        <v>3</v>
      </c>
      <c r="R195" s="4">
        <v>3</v>
      </c>
      <c r="S195" s="4">
        <v>3</v>
      </c>
      <c r="T195" s="4">
        <v>3</v>
      </c>
      <c r="U195" s="4">
        <v>3</v>
      </c>
      <c r="V195" s="4">
        <v>3</v>
      </c>
      <c r="W195" s="4">
        <v>3</v>
      </c>
      <c r="X195" s="4">
        <v>3</v>
      </c>
      <c r="Y195" s="4">
        <v>3</v>
      </c>
      <c r="Z195" s="5">
        <v>0</v>
      </c>
      <c r="AA195" s="4">
        <v>0</v>
      </c>
      <c r="AB195" s="4">
        <v>0</v>
      </c>
      <c r="AC195" s="4">
        <v>0</v>
      </c>
      <c r="AD195" s="4">
        <v>0</v>
      </c>
    </row>
    <row r="196" spans="1:30" x14ac:dyDescent="0.35">
      <c r="A196" s="38"/>
      <c r="B196" s="27"/>
      <c r="C196" s="28" t="s">
        <v>46</v>
      </c>
      <c r="D196" s="29"/>
      <c r="E196" s="30" t="s">
        <v>95</v>
      </c>
      <c r="F196" s="31"/>
      <c r="G196" s="4">
        <v>4</v>
      </c>
      <c r="H196" s="4">
        <v>4</v>
      </c>
      <c r="I196" s="4">
        <v>4</v>
      </c>
      <c r="J196" s="4">
        <v>4</v>
      </c>
      <c r="K196" s="4">
        <v>4</v>
      </c>
      <c r="L196" s="4">
        <v>4</v>
      </c>
      <c r="M196" s="4">
        <v>4</v>
      </c>
      <c r="N196" s="4">
        <v>4</v>
      </c>
      <c r="O196" s="4">
        <v>4</v>
      </c>
      <c r="P196" s="4">
        <v>4</v>
      </c>
      <c r="Q196" s="4">
        <v>4</v>
      </c>
      <c r="R196" s="4">
        <v>4</v>
      </c>
      <c r="S196" s="4">
        <v>4</v>
      </c>
      <c r="T196" s="4">
        <v>4</v>
      </c>
      <c r="U196" s="4">
        <v>4</v>
      </c>
      <c r="V196" s="4">
        <v>4</v>
      </c>
      <c r="W196" s="4">
        <v>4</v>
      </c>
      <c r="X196" s="4">
        <v>4</v>
      </c>
      <c r="Y196" s="4">
        <v>4</v>
      </c>
      <c r="Z196" s="4">
        <v>4</v>
      </c>
      <c r="AA196" s="4">
        <v>4</v>
      </c>
      <c r="AB196" s="5">
        <v>0</v>
      </c>
      <c r="AC196" s="4">
        <v>0</v>
      </c>
      <c r="AD196" s="4">
        <v>0</v>
      </c>
    </row>
    <row r="197" spans="1:30" x14ac:dyDescent="0.35">
      <c r="A197" s="38"/>
      <c r="B197" s="27"/>
      <c r="C197" s="28" t="s">
        <v>49</v>
      </c>
      <c r="D197" s="29"/>
      <c r="E197" s="30" t="s">
        <v>96</v>
      </c>
      <c r="F197" s="31"/>
      <c r="G197" s="4">
        <v>4</v>
      </c>
      <c r="H197" s="4">
        <v>4</v>
      </c>
      <c r="I197" s="4">
        <v>4</v>
      </c>
      <c r="J197" s="4">
        <v>4</v>
      </c>
      <c r="K197" s="4">
        <v>4</v>
      </c>
      <c r="L197" s="4">
        <v>4</v>
      </c>
      <c r="M197" s="4">
        <v>4</v>
      </c>
      <c r="N197" s="4">
        <v>4</v>
      </c>
      <c r="O197" s="4">
        <v>4</v>
      </c>
      <c r="P197" s="4">
        <v>4</v>
      </c>
      <c r="Q197" s="4">
        <v>4</v>
      </c>
      <c r="R197" s="4">
        <v>4</v>
      </c>
      <c r="S197" s="4">
        <v>4</v>
      </c>
      <c r="T197" s="4">
        <v>4</v>
      </c>
      <c r="U197" s="4">
        <v>4</v>
      </c>
      <c r="V197" s="4">
        <v>4</v>
      </c>
      <c r="W197" s="4">
        <v>4</v>
      </c>
      <c r="X197" s="4">
        <v>4</v>
      </c>
      <c r="Y197" s="4">
        <v>4</v>
      </c>
      <c r="Z197" s="4">
        <v>4</v>
      </c>
      <c r="AA197" s="4">
        <v>4</v>
      </c>
      <c r="AB197" s="4">
        <v>4</v>
      </c>
      <c r="AC197" s="5">
        <v>0</v>
      </c>
      <c r="AD197" s="4">
        <v>0</v>
      </c>
    </row>
    <row r="198" spans="1:30" x14ac:dyDescent="0.35">
      <c r="A198" s="38"/>
      <c r="B198" s="27" t="s">
        <v>123</v>
      </c>
      <c r="C198" s="28" t="s">
        <v>51</v>
      </c>
      <c r="D198" s="29"/>
      <c r="E198" s="30" t="s">
        <v>94</v>
      </c>
      <c r="F198" s="31"/>
      <c r="G198" s="4">
        <v>4</v>
      </c>
      <c r="H198" s="4">
        <v>4</v>
      </c>
      <c r="I198" s="4">
        <v>4</v>
      </c>
      <c r="J198" s="4">
        <v>4</v>
      </c>
      <c r="K198" s="5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</row>
    <row r="199" spans="1:30" x14ac:dyDescent="0.35">
      <c r="A199" s="38"/>
      <c r="B199" s="27"/>
      <c r="C199" s="28" t="s">
        <v>188</v>
      </c>
      <c r="D199" s="29"/>
      <c r="E199" s="30" t="s">
        <v>103</v>
      </c>
      <c r="F199" s="31"/>
      <c r="G199" s="4">
        <v>2</v>
      </c>
      <c r="H199" s="4">
        <v>2</v>
      </c>
      <c r="I199" s="4">
        <v>2</v>
      </c>
      <c r="J199" s="4">
        <v>2</v>
      </c>
      <c r="K199" s="5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</row>
    <row r="200" spans="1:30" x14ac:dyDescent="0.35">
      <c r="A200" s="38"/>
      <c r="B200" s="27"/>
      <c r="C200" s="28" t="s">
        <v>50</v>
      </c>
      <c r="D200" s="29"/>
      <c r="E200" s="30" t="s">
        <v>94</v>
      </c>
      <c r="F200" s="31"/>
      <c r="G200" s="4">
        <v>3</v>
      </c>
      <c r="H200" s="4">
        <v>3</v>
      </c>
      <c r="I200" s="4">
        <v>3</v>
      </c>
      <c r="J200" s="4">
        <v>3</v>
      </c>
      <c r="K200" s="4">
        <v>3</v>
      </c>
      <c r="L200" s="4">
        <v>3</v>
      </c>
      <c r="M200" s="5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</row>
    <row r="201" spans="1:30" x14ac:dyDescent="0.35">
      <c r="A201" s="38"/>
      <c r="B201" s="27"/>
      <c r="C201" s="28" t="s">
        <v>124</v>
      </c>
      <c r="D201" s="29"/>
      <c r="E201" s="30" t="s">
        <v>104</v>
      </c>
      <c r="F201" s="31"/>
      <c r="G201" s="4">
        <v>2</v>
      </c>
      <c r="H201" s="4">
        <v>2</v>
      </c>
      <c r="I201" s="4">
        <v>2</v>
      </c>
      <c r="J201" s="4">
        <v>2</v>
      </c>
      <c r="K201" s="4">
        <v>2</v>
      </c>
      <c r="L201" s="4">
        <v>2</v>
      </c>
      <c r="M201" s="5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</row>
    <row r="202" spans="1:30" x14ac:dyDescent="0.35">
      <c r="A202" s="38"/>
      <c r="B202" s="27"/>
      <c r="C202" s="28" t="s">
        <v>53</v>
      </c>
      <c r="D202" s="29"/>
      <c r="E202" s="30" t="s">
        <v>94</v>
      </c>
      <c r="F202" s="31"/>
      <c r="G202" s="4">
        <v>3</v>
      </c>
      <c r="H202" s="4">
        <v>3</v>
      </c>
      <c r="I202" s="4">
        <v>3</v>
      </c>
      <c r="J202" s="4">
        <v>3</v>
      </c>
      <c r="K202" s="4">
        <v>3</v>
      </c>
      <c r="L202" s="4">
        <v>3</v>
      </c>
      <c r="M202" s="4">
        <v>3</v>
      </c>
      <c r="N202" s="4">
        <v>3</v>
      </c>
      <c r="O202" s="5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</row>
    <row r="203" spans="1:30" x14ac:dyDescent="0.35">
      <c r="A203" s="38"/>
      <c r="B203" s="27"/>
      <c r="C203" s="28" t="s">
        <v>52</v>
      </c>
      <c r="D203" s="29"/>
      <c r="E203" s="30" t="s">
        <v>103</v>
      </c>
      <c r="F203" s="31"/>
      <c r="G203" s="4">
        <v>2</v>
      </c>
      <c r="H203" s="4">
        <v>2</v>
      </c>
      <c r="I203" s="4">
        <v>2</v>
      </c>
      <c r="J203" s="4">
        <v>2</v>
      </c>
      <c r="K203" s="4">
        <v>2</v>
      </c>
      <c r="L203" s="4">
        <v>2</v>
      </c>
      <c r="M203" s="4">
        <v>2</v>
      </c>
      <c r="N203" s="4">
        <v>2</v>
      </c>
      <c r="O203" s="5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</row>
    <row r="204" spans="1:30" x14ac:dyDescent="0.35">
      <c r="A204" s="38"/>
      <c r="B204" s="27"/>
      <c r="C204" s="28" t="s">
        <v>125</v>
      </c>
      <c r="D204" s="29"/>
      <c r="E204" s="30" t="s">
        <v>94</v>
      </c>
      <c r="F204" s="31"/>
      <c r="G204" s="4">
        <v>3</v>
      </c>
      <c r="H204" s="4">
        <v>3</v>
      </c>
      <c r="I204" s="4">
        <v>3</v>
      </c>
      <c r="J204" s="4">
        <v>3</v>
      </c>
      <c r="K204" s="4">
        <v>3</v>
      </c>
      <c r="L204" s="4">
        <v>3</v>
      </c>
      <c r="M204" s="4">
        <v>3</v>
      </c>
      <c r="N204" s="4">
        <v>3</v>
      </c>
      <c r="O204" s="4">
        <v>3</v>
      </c>
      <c r="P204" s="4">
        <v>3</v>
      </c>
      <c r="Q204" s="5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</row>
    <row r="205" spans="1:30" x14ac:dyDescent="0.35">
      <c r="A205" s="38"/>
      <c r="B205" s="27"/>
      <c r="C205" s="28" t="s">
        <v>126</v>
      </c>
      <c r="D205" s="29"/>
      <c r="E205" s="30" t="s">
        <v>104</v>
      </c>
      <c r="F205" s="31"/>
      <c r="G205" s="4">
        <v>2</v>
      </c>
      <c r="H205" s="4">
        <v>2</v>
      </c>
      <c r="I205" s="4">
        <v>2</v>
      </c>
      <c r="J205" s="4">
        <v>2</v>
      </c>
      <c r="K205" s="4">
        <v>2</v>
      </c>
      <c r="L205" s="4">
        <v>2</v>
      </c>
      <c r="M205" s="4">
        <v>2</v>
      </c>
      <c r="N205" s="4">
        <v>2</v>
      </c>
      <c r="O205" s="4">
        <v>2</v>
      </c>
      <c r="P205" s="4">
        <v>2</v>
      </c>
      <c r="Q205" s="5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</row>
    <row r="206" spans="1:30" x14ac:dyDescent="0.35">
      <c r="A206" s="38"/>
      <c r="B206" s="27"/>
      <c r="C206" s="28" t="s">
        <v>127</v>
      </c>
      <c r="D206" s="29"/>
      <c r="E206" s="30" t="s">
        <v>94</v>
      </c>
      <c r="F206" s="31"/>
      <c r="G206" s="4">
        <v>7</v>
      </c>
      <c r="H206" s="4">
        <v>5</v>
      </c>
      <c r="I206" s="4">
        <v>7</v>
      </c>
      <c r="J206" s="4">
        <v>7</v>
      </c>
      <c r="K206" s="4">
        <v>7</v>
      </c>
      <c r="L206" s="4">
        <v>7</v>
      </c>
      <c r="M206" s="4">
        <v>7</v>
      </c>
      <c r="N206" s="4">
        <v>7</v>
      </c>
      <c r="O206" s="4">
        <v>7</v>
      </c>
      <c r="P206" s="4">
        <v>7</v>
      </c>
      <c r="Q206" s="4">
        <v>7</v>
      </c>
      <c r="R206" s="4">
        <v>7</v>
      </c>
      <c r="S206" s="4">
        <v>7</v>
      </c>
      <c r="T206" s="5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</row>
    <row r="207" spans="1:30" x14ac:dyDescent="0.35">
      <c r="A207" s="38"/>
      <c r="B207" s="27"/>
      <c r="C207" s="30"/>
      <c r="D207" s="31"/>
      <c r="E207" s="30"/>
      <c r="F207" s="3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7">
        <v>2</v>
      </c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x14ac:dyDescent="0.35">
      <c r="A208" s="38"/>
      <c r="B208" s="27"/>
      <c r="C208" s="28" t="s">
        <v>128</v>
      </c>
      <c r="D208" s="29"/>
      <c r="E208" s="30" t="s">
        <v>103</v>
      </c>
      <c r="F208" s="31"/>
      <c r="G208" s="4">
        <v>5</v>
      </c>
      <c r="H208" s="4">
        <v>3</v>
      </c>
      <c r="I208" s="4">
        <v>5</v>
      </c>
      <c r="J208" s="4">
        <v>5</v>
      </c>
      <c r="K208" s="4">
        <v>5</v>
      </c>
      <c r="L208" s="4">
        <v>5</v>
      </c>
      <c r="M208" s="4">
        <v>5</v>
      </c>
      <c r="N208" s="4">
        <v>5</v>
      </c>
      <c r="O208" s="4">
        <v>5</v>
      </c>
      <c r="P208" s="4">
        <v>5</v>
      </c>
      <c r="Q208" s="4">
        <v>5</v>
      </c>
      <c r="R208" s="4">
        <v>5</v>
      </c>
      <c r="S208" s="4">
        <v>5</v>
      </c>
      <c r="T208" s="5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</row>
    <row r="209" spans="1:30" x14ac:dyDescent="0.35">
      <c r="A209" s="38"/>
      <c r="B209" s="27"/>
      <c r="C209" s="30"/>
      <c r="D209" s="31"/>
      <c r="E209" s="30"/>
      <c r="F209" s="3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7">
        <v>2</v>
      </c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x14ac:dyDescent="0.35">
      <c r="A210" s="38"/>
      <c r="B210" s="27"/>
      <c r="C210" s="28" t="s">
        <v>129</v>
      </c>
      <c r="D210" s="29"/>
      <c r="E210" s="30" t="s">
        <v>94</v>
      </c>
      <c r="F210" s="31"/>
      <c r="G210" s="4">
        <v>2</v>
      </c>
      <c r="H210" s="4">
        <v>4</v>
      </c>
      <c r="I210" s="4">
        <v>2</v>
      </c>
      <c r="J210" s="4">
        <v>2</v>
      </c>
      <c r="K210" s="4">
        <v>2</v>
      </c>
      <c r="L210" s="4">
        <v>2</v>
      </c>
      <c r="M210" s="4">
        <v>2</v>
      </c>
      <c r="N210" s="4">
        <v>2</v>
      </c>
      <c r="O210" s="4">
        <v>2</v>
      </c>
      <c r="P210" s="4">
        <v>2</v>
      </c>
      <c r="Q210" s="4">
        <v>2</v>
      </c>
      <c r="R210" s="4">
        <v>2</v>
      </c>
      <c r="S210" s="4">
        <v>2</v>
      </c>
      <c r="T210" s="4">
        <v>2</v>
      </c>
      <c r="U210" s="5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</row>
    <row r="211" spans="1:30" x14ac:dyDescent="0.35">
      <c r="A211" s="38"/>
      <c r="B211" s="27"/>
      <c r="C211" s="30"/>
      <c r="D211" s="31"/>
      <c r="E211" s="30"/>
      <c r="F211" s="3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6">
        <v>2</v>
      </c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x14ac:dyDescent="0.35">
      <c r="A212" s="38"/>
      <c r="B212" s="27"/>
      <c r="C212" s="28" t="s">
        <v>130</v>
      </c>
      <c r="D212" s="29"/>
      <c r="E212" s="30" t="s">
        <v>104</v>
      </c>
      <c r="F212" s="31"/>
      <c r="G212" s="4">
        <v>2</v>
      </c>
      <c r="H212" s="4">
        <v>2</v>
      </c>
      <c r="I212" s="4">
        <v>2</v>
      </c>
      <c r="J212" s="4">
        <v>2</v>
      </c>
      <c r="K212" s="4">
        <v>2</v>
      </c>
      <c r="L212" s="4">
        <v>2</v>
      </c>
      <c r="M212" s="4">
        <v>2</v>
      </c>
      <c r="N212" s="4">
        <v>2</v>
      </c>
      <c r="O212" s="4">
        <v>2</v>
      </c>
      <c r="P212" s="4">
        <v>2</v>
      </c>
      <c r="Q212" s="4">
        <v>2</v>
      </c>
      <c r="R212" s="4">
        <v>2</v>
      </c>
      <c r="S212" s="4">
        <v>2</v>
      </c>
      <c r="T212" s="4">
        <v>2</v>
      </c>
      <c r="U212" s="5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</row>
    <row r="213" spans="1:30" x14ac:dyDescent="0.35">
      <c r="A213" s="38"/>
      <c r="B213" s="27"/>
      <c r="C213" s="28" t="s">
        <v>131</v>
      </c>
      <c r="D213" s="29"/>
      <c r="E213" s="30" t="s">
        <v>94</v>
      </c>
      <c r="F213" s="31"/>
      <c r="G213" s="4">
        <v>2</v>
      </c>
      <c r="H213" s="4">
        <v>2</v>
      </c>
      <c r="I213" s="4">
        <v>2</v>
      </c>
      <c r="J213" s="4">
        <v>2</v>
      </c>
      <c r="K213" s="4">
        <v>2</v>
      </c>
      <c r="L213" s="4">
        <v>2</v>
      </c>
      <c r="M213" s="4">
        <v>2</v>
      </c>
      <c r="N213" s="4">
        <v>2</v>
      </c>
      <c r="O213" s="4">
        <v>2</v>
      </c>
      <c r="P213" s="4">
        <v>2</v>
      </c>
      <c r="Q213" s="4">
        <v>2</v>
      </c>
      <c r="R213" s="4">
        <v>2</v>
      </c>
      <c r="S213" s="4">
        <v>2</v>
      </c>
      <c r="T213" s="4">
        <v>2</v>
      </c>
      <c r="U213" s="4">
        <v>2</v>
      </c>
      <c r="V213" s="4">
        <v>2</v>
      </c>
      <c r="W213" s="5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</row>
    <row r="214" spans="1:30" x14ac:dyDescent="0.35">
      <c r="A214" s="38"/>
      <c r="B214" s="27"/>
      <c r="C214" s="28" t="s">
        <v>132</v>
      </c>
      <c r="D214" s="29"/>
      <c r="E214" s="30" t="s">
        <v>103</v>
      </c>
      <c r="F214" s="31"/>
      <c r="G214" s="4">
        <v>2</v>
      </c>
      <c r="H214" s="4">
        <v>2</v>
      </c>
      <c r="I214" s="4">
        <v>2</v>
      </c>
      <c r="J214" s="4">
        <v>2</v>
      </c>
      <c r="K214" s="4">
        <v>2</v>
      </c>
      <c r="L214" s="4">
        <v>2</v>
      </c>
      <c r="M214" s="4">
        <v>2</v>
      </c>
      <c r="N214" s="4">
        <v>2</v>
      </c>
      <c r="O214" s="4">
        <v>2</v>
      </c>
      <c r="P214" s="4">
        <v>2</v>
      </c>
      <c r="Q214" s="4">
        <v>2</v>
      </c>
      <c r="R214" s="4">
        <v>2</v>
      </c>
      <c r="S214" s="4">
        <v>2</v>
      </c>
      <c r="T214" s="4">
        <v>2</v>
      </c>
      <c r="U214" s="4">
        <v>2</v>
      </c>
      <c r="V214" s="4">
        <v>2</v>
      </c>
      <c r="W214" s="5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</row>
    <row r="215" spans="1:30" x14ac:dyDescent="0.35">
      <c r="A215" s="38"/>
      <c r="B215" s="27"/>
      <c r="C215" s="28" t="s">
        <v>133</v>
      </c>
      <c r="D215" s="29"/>
      <c r="E215" s="30" t="s">
        <v>94</v>
      </c>
      <c r="F215" s="31"/>
      <c r="G215" s="4">
        <v>3</v>
      </c>
      <c r="H215" s="4">
        <v>3</v>
      </c>
      <c r="I215" s="4">
        <v>3</v>
      </c>
      <c r="J215" s="4">
        <v>3</v>
      </c>
      <c r="K215" s="4">
        <v>3</v>
      </c>
      <c r="L215" s="4">
        <v>3</v>
      </c>
      <c r="M215" s="4">
        <v>3</v>
      </c>
      <c r="N215" s="4">
        <v>3</v>
      </c>
      <c r="O215" s="4">
        <v>3</v>
      </c>
      <c r="P215" s="4">
        <v>3</v>
      </c>
      <c r="Q215" s="4">
        <v>3</v>
      </c>
      <c r="R215" s="4">
        <v>3</v>
      </c>
      <c r="S215" s="4">
        <v>3</v>
      </c>
      <c r="T215" s="4">
        <v>3</v>
      </c>
      <c r="U215" s="4">
        <v>3</v>
      </c>
      <c r="V215" s="4">
        <v>3</v>
      </c>
      <c r="W215" s="4">
        <v>3</v>
      </c>
      <c r="X215" s="5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</row>
    <row r="216" spans="1:30" x14ac:dyDescent="0.35">
      <c r="A216" s="38"/>
      <c r="B216" s="27"/>
      <c r="C216" s="28" t="s">
        <v>134</v>
      </c>
      <c r="D216" s="29"/>
      <c r="E216" s="30" t="s">
        <v>104</v>
      </c>
      <c r="F216" s="31"/>
      <c r="G216" s="4">
        <v>2</v>
      </c>
      <c r="H216" s="4">
        <v>2</v>
      </c>
      <c r="I216" s="4">
        <v>2</v>
      </c>
      <c r="J216" s="4">
        <v>2</v>
      </c>
      <c r="K216" s="4">
        <v>2</v>
      </c>
      <c r="L216" s="4">
        <v>2</v>
      </c>
      <c r="M216" s="4">
        <v>2</v>
      </c>
      <c r="N216" s="4">
        <v>2</v>
      </c>
      <c r="O216" s="4">
        <v>2</v>
      </c>
      <c r="P216" s="4">
        <v>2</v>
      </c>
      <c r="Q216" s="4">
        <v>2</v>
      </c>
      <c r="R216" s="4">
        <v>2</v>
      </c>
      <c r="S216" s="4">
        <v>2</v>
      </c>
      <c r="T216" s="4">
        <v>2</v>
      </c>
      <c r="U216" s="4">
        <v>2</v>
      </c>
      <c r="V216" s="4">
        <v>2</v>
      </c>
      <c r="W216" s="4">
        <v>2</v>
      </c>
      <c r="X216" s="5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</row>
    <row r="217" spans="1:30" x14ac:dyDescent="0.35">
      <c r="A217" s="38"/>
      <c r="B217" s="27"/>
      <c r="C217" s="28" t="s">
        <v>135</v>
      </c>
      <c r="D217" s="29"/>
      <c r="E217" s="30" t="s">
        <v>94</v>
      </c>
      <c r="F217" s="31"/>
      <c r="G217" s="4">
        <v>3</v>
      </c>
      <c r="H217" s="4">
        <v>3</v>
      </c>
      <c r="I217" s="4">
        <v>3</v>
      </c>
      <c r="J217" s="4">
        <v>3</v>
      </c>
      <c r="K217" s="4">
        <v>3</v>
      </c>
      <c r="L217" s="4">
        <v>3</v>
      </c>
      <c r="M217" s="4">
        <v>3</v>
      </c>
      <c r="N217" s="4">
        <v>3</v>
      </c>
      <c r="O217" s="4">
        <v>3</v>
      </c>
      <c r="P217" s="4">
        <v>3</v>
      </c>
      <c r="Q217" s="4">
        <v>3</v>
      </c>
      <c r="R217" s="4">
        <v>3</v>
      </c>
      <c r="S217" s="4">
        <v>3</v>
      </c>
      <c r="T217" s="4">
        <v>3</v>
      </c>
      <c r="U217" s="4">
        <v>3</v>
      </c>
      <c r="V217" s="4">
        <v>3</v>
      </c>
      <c r="W217" s="4">
        <v>3</v>
      </c>
      <c r="X217" s="5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</row>
    <row r="218" spans="1:30" x14ac:dyDescent="0.35">
      <c r="A218" s="38"/>
      <c r="B218" s="27"/>
      <c r="C218" s="28" t="s">
        <v>136</v>
      </c>
      <c r="D218" s="29"/>
      <c r="E218" s="30" t="s">
        <v>103</v>
      </c>
      <c r="F218" s="31"/>
      <c r="G218" s="4">
        <v>2</v>
      </c>
      <c r="H218" s="4">
        <v>2</v>
      </c>
      <c r="I218" s="4">
        <v>2</v>
      </c>
      <c r="J218" s="4">
        <v>2</v>
      </c>
      <c r="K218" s="4">
        <v>2</v>
      </c>
      <c r="L218" s="4">
        <v>2</v>
      </c>
      <c r="M218" s="4">
        <v>2</v>
      </c>
      <c r="N218" s="4">
        <v>2</v>
      </c>
      <c r="O218" s="4">
        <v>2</v>
      </c>
      <c r="P218" s="4">
        <v>2</v>
      </c>
      <c r="Q218" s="4">
        <v>2</v>
      </c>
      <c r="R218" s="4">
        <v>2</v>
      </c>
      <c r="S218" s="4">
        <v>2</v>
      </c>
      <c r="T218" s="4">
        <v>2</v>
      </c>
      <c r="U218" s="4">
        <v>2</v>
      </c>
      <c r="V218" s="4">
        <v>2</v>
      </c>
      <c r="W218" s="4">
        <v>2</v>
      </c>
      <c r="X218" s="5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</row>
    <row r="219" spans="1:30" x14ac:dyDescent="0.35">
      <c r="A219" s="38"/>
      <c r="B219" s="27"/>
      <c r="C219" s="28" t="s">
        <v>57</v>
      </c>
      <c r="D219" s="29"/>
      <c r="E219" s="30" t="s">
        <v>94</v>
      </c>
      <c r="F219" s="31"/>
      <c r="G219" s="4">
        <v>2</v>
      </c>
      <c r="H219" s="4">
        <v>3</v>
      </c>
      <c r="I219" s="4">
        <v>2</v>
      </c>
      <c r="J219" s="4">
        <v>2</v>
      </c>
      <c r="K219" s="4">
        <v>2</v>
      </c>
      <c r="L219" s="4">
        <v>2</v>
      </c>
      <c r="M219" s="4">
        <v>2</v>
      </c>
      <c r="N219" s="4">
        <v>2</v>
      </c>
      <c r="O219" s="4">
        <v>2</v>
      </c>
      <c r="P219" s="4">
        <v>2</v>
      </c>
      <c r="Q219" s="4">
        <v>2</v>
      </c>
      <c r="R219" s="4">
        <v>2</v>
      </c>
      <c r="S219" s="4">
        <v>2</v>
      </c>
      <c r="T219" s="4">
        <v>2</v>
      </c>
      <c r="U219" s="4">
        <v>2</v>
      </c>
      <c r="V219" s="4">
        <v>2</v>
      </c>
      <c r="W219" s="4">
        <v>2</v>
      </c>
      <c r="X219" s="4">
        <v>2</v>
      </c>
      <c r="Y219" s="4">
        <v>2</v>
      </c>
      <c r="Z219" s="5">
        <v>0</v>
      </c>
      <c r="AA219" s="4">
        <v>0</v>
      </c>
      <c r="AB219" s="4">
        <v>0</v>
      </c>
      <c r="AC219" s="4">
        <v>0</v>
      </c>
      <c r="AD219" s="4">
        <v>0</v>
      </c>
    </row>
    <row r="220" spans="1:30" x14ac:dyDescent="0.35">
      <c r="A220" s="38"/>
      <c r="B220" s="27"/>
      <c r="C220" s="30"/>
      <c r="D220" s="31"/>
      <c r="E220" s="30"/>
      <c r="F220" s="3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6">
        <v>2</v>
      </c>
      <c r="AA220" s="4"/>
      <c r="AB220" s="4"/>
      <c r="AC220" s="4"/>
      <c r="AD220" s="4"/>
    </row>
    <row r="221" spans="1:30" x14ac:dyDescent="0.35">
      <c r="A221" s="38"/>
      <c r="B221" s="27"/>
      <c r="C221" s="28" t="s">
        <v>137</v>
      </c>
      <c r="D221" s="29"/>
      <c r="E221" s="30" t="s">
        <v>104</v>
      </c>
      <c r="F221" s="31"/>
      <c r="G221" s="4">
        <v>2</v>
      </c>
      <c r="H221" s="4">
        <v>2</v>
      </c>
      <c r="I221" s="4">
        <v>2</v>
      </c>
      <c r="J221" s="4">
        <v>2</v>
      </c>
      <c r="K221" s="4">
        <v>2</v>
      </c>
      <c r="L221" s="4">
        <v>2</v>
      </c>
      <c r="M221" s="4">
        <v>2</v>
      </c>
      <c r="N221" s="4">
        <v>2</v>
      </c>
      <c r="O221" s="4">
        <v>2</v>
      </c>
      <c r="P221" s="4">
        <v>2</v>
      </c>
      <c r="Q221" s="4">
        <v>2</v>
      </c>
      <c r="R221" s="4">
        <v>2</v>
      </c>
      <c r="S221" s="4">
        <v>2</v>
      </c>
      <c r="T221" s="4">
        <v>2</v>
      </c>
      <c r="U221" s="4">
        <v>2</v>
      </c>
      <c r="V221" s="4">
        <v>2</v>
      </c>
      <c r="W221" s="4">
        <v>2</v>
      </c>
      <c r="X221" s="4">
        <v>2</v>
      </c>
      <c r="Y221" s="4">
        <v>2</v>
      </c>
      <c r="Z221" s="5">
        <v>0</v>
      </c>
      <c r="AA221" s="4">
        <v>0</v>
      </c>
      <c r="AB221" s="4">
        <v>0</v>
      </c>
      <c r="AC221" s="4">
        <v>0</v>
      </c>
      <c r="AD221" s="4">
        <v>0</v>
      </c>
    </row>
    <row r="222" spans="1:30" x14ac:dyDescent="0.35">
      <c r="A222" s="38"/>
      <c r="B222" s="27"/>
      <c r="C222" s="28" t="s">
        <v>268</v>
      </c>
      <c r="D222" s="29"/>
      <c r="E222" s="30" t="s">
        <v>94</v>
      </c>
      <c r="F222" s="31"/>
      <c r="G222" s="4">
        <v>3</v>
      </c>
      <c r="H222" s="4">
        <v>3</v>
      </c>
      <c r="I222" s="4">
        <v>3</v>
      </c>
      <c r="J222" s="4">
        <v>3</v>
      </c>
      <c r="K222" s="4">
        <v>3</v>
      </c>
      <c r="L222" s="4">
        <v>3</v>
      </c>
      <c r="M222" s="4">
        <v>3</v>
      </c>
      <c r="N222" s="4">
        <v>3</v>
      </c>
      <c r="O222" s="4">
        <v>3</v>
      </c>
      <c r="P222" s="4">
        <v>3</v>
      </c>
      <c r="Q222" s="4">
        <v>3</v>
      </c>
      <c r="R222" s="4">
        <v>3</v>
      </c>
      <c r="S222" s="4">
        <v>3</v>
      </c>
      <c r="T222" s="4">
        <v>3</v>
      </c>
      <c r="U222" s="4">
        <v>3</v>
      </c>
      <c r="V222" s="4">
        <v>3</v>
      </c>
      <c r="W222" s="4">
        <v>3</v>
      </c>
      <c r="X222" s="4">
        <v>3</v>
      </c>
      <c r="Y222" s="4">
        <v>3</v>
      </c>
      <c r="Z222" s="4">
        <v>3</v>
      </c>
      <c r="AA222" s="5">
        <v>0</v>
      </c>
      <c r="AB222" s="4">
        <v>0</v>
      </c>
      <c r="AC222" s="4">
        <v>0</v>
      </c>
      <c r="AD222" s="4">
        <v>0</v>
      </c>
    </row>
    <row r="223" spans="1:30" x14ac:dyDescent="0.35">
      <c r="A223" s="38"/>
      <c r="B223" s="27"/>
      <c r="C223" s="28" t="s">
        <v>269</v>
      </c>
      <c r="D223" s="29"/>
      <c r="E223" s="30" t="s">
        <v>103</v>
      </c>
      <c r="F223" s="31"/>
      <c r="G223" s="4">
        <v>2</v>
      </c>
      <c r="H223" s="4">
        <v>2</v>
      </c>
      <c r="I223" s="4">
        <v>2</v>
      </c>
      <c r="J223" s="4">
        <v>2</v>
      </c>
      <c r="K223" s="4">
        <v>2</v>
      </c>
      <c r="L223" s="4">
        <v>2</v>
      </c>
      <c r="M223" s="4">
        <v>2</v>
      </c>
      <c r="N223" s="4">
        <v>2</v>
      </c>
      <c r="O223" s="4">
        <v>2</v>
      </c>
      <c r="P223" s="4">
        <v>2</v>
      </c>
      <c r="Q223" s="4">
        <v>2</v>
      </c>
      <c r="R223" s="4">
        <v>2</v>
      </c>
      <c r="S223" s="4">
        <v>2</v>
      </c>
      <c r="T223" s="4">
        <v>2</v>
      </c>
      <c r="U223" s="4">
        <v>2</v>
      </c>
      <c r="V223" s="4">
        <v>2</v>
      </c>
      <c r="W223" s="4">
        <v>2</v>
      </c>
      <c r="X223" s="4">
        <v>2</v>
      </c>
      <c r="Y223" s="4">
        <v>2</v>
      </c>
      <c r="Z223" s="4">
        <v>2</v>
      </c>
      <c r="AA223" s="5">
        <v>0</v>
      </c>
      <c r="AB223" s="4">
        <v>0</v>
      </c>
      <c r="AC223" s="4">
        <v>0</v>
      </c>
      <c r="AD223" s="4">
        <v>0</v>
      </c>
    </row>
    <row r="224" spans="1:30" x14ac:dyDescent="0.35">
      <c r="A224" s="38"/>
      <c r="B224" s="27"/>
      <c r="C224" s="28" t="s">
        <v>58</v>
      </c>
      <c r="D224" s="29"/>
      <c r="E224" s="30" t="s">
        <v>94</v>
      </c>
      <c r="F224" s="31"/>
      <c r="G224" s="4">
        <v>3</v>
      </c>
      <c r="H224" s="4">
        <v>3</v>
      </c>
      <c r="I224" s="4">
        <v>3</v>
      </c>
      <c r="J224" s="4">
        <v>3</v>
      </c>
      <c r="K224" s="4">
        <v>3</v>
      </c>
      <c r="L224" s="4">
        <v>3</v>
      </c>
      <c r="M224" s="4">
        <v>3</v>
      </c>
      <c r="N224" s="4">
        <v>3</v>
      </c>
      <c r="O224" s="4">
        <v>3</v>
      </c>
      <c r="P224" s="4">
        <v>3</v>
      </c>
      <c r="Q224" s="4">
        <v>3</v>
      </c>
      <c r="R224" s="4">
        <v>3</v>
      </c>
      <c r="S224" s="4">
        <v>3</v>
      </c>
      <c r="T224" s="4">
        <v>3</v>
      </c>
      <c r="U224" s="4">
        <v>3</v>
      </c>
      <c r="V224" s="4">
        <v>3</v>
      </c>
      <c r="W224" s="4">
        <v>3</v>
      </c>
      <c r="X224" s="4">
        <v>3</v>
      </c>
      <c r="Y224" s="4">
        <v>3</v>
      </c>
      <c r="Z224" s="4">
        <v>3</v>
      </c>
      <c r="AA224" s="4">
        <v>3</v>
      </c>
      <c r="AB224" s="5">
        <v>0</v>
      </c>
      <c r="AC224" s="4">
        <v>0</v>
      </c>
      <c r="AD224" s="4">
        <v>0</v>
      </c>
    </row>
    <row r="225" spans="1:30" x14ac:dyDescent="0.35">
      <c r="A225" s="38"/>
      <c r="B225" s="27"/>
      <c r="C225" s="28" t="s">
        <v>138</v>
      </c>
      <c r="D225" s="29"/>
      <c r="E225" s="30" t="s">
        <v>104</v>
      </c>
      <c r="F225" s="31"/>
      <c r="G225" s="4">
        <v>2</v>
      </c>
      <c r="H225" s="4">
        <v>2</v>
      </c>
      <c r="I225" s="4">
        <v>2</v>
      </c>
      <c r="J225" s="4">
        <v>2</v>
      </c>
      <c r="K225" s="4">
        <v>2</v>
      </c>
      <c r="L225" s="4">
        <v>2</v>
      </c>
      <c r="M225" s="4">
        <v>2</v>
      </c>
      <c r="N225" s="4">
        <v>2</v>
      </c>
      <c r="O225" s="4">
        <v>2</v>
      </c>
      <c r="P225" s="4">
        <v>2</v>
      </c>
      <c r="Q225" s="4">
        <v>2</v>
      </c>
      <c r="R225" s="4">
        <v>2</v>
      </c>
      <c r="S225" s="4">
        <v>2</v>
      </c>
      <c r="T225" s="4">
        <v>2</v>
      </c>
      <c r="U225" s="4">
        <v>2</v>
      </c>
      <c r="V225" s="4">
        <v>2</v>
      </c>
      <c r="W225" s="4">
        <v>2</v>
      </c>
      <c r="X225" s="4">
        <v>2</v>
      </c>
      <c r="Y225" s="4">
        <v>2</v>
      </c>
      <c r="Z225" s="4">
        <v>2</v>
      </c>
      <c r="AA225" s="4">
        <v>2</v>
      </c>
      <c r="AB225" s="5">
        <v>0</v>
      </c>
      <c r="AC225" s="4">
        <v>0</v>
      </c>
      <c r="AD225" s="4">
        <v>0</v>
      </c>
    </row>
    <row r="226" spans="1:30" x14ac:dyDescent="0.35">
      <c r="A226" s="38"/>
      <c r="B226" s="27"/>
      <c r="C226" s="28" t="s">
        <v>61</v>
      </c>
      <c r="D226" s="29"/>
      <c r="E226" s="30" t="s">
        <v>94</v>
      </c>
      <c r="F226" s="31"/>
      <c r="G226" s="4">
        <v>3</v>
      </c>
      <c r="H226" s="4">
        <v>3</v>
      </c>
      <c r="I226" s="4">
        <v>3</v>
      </c>
      <c r="J226" s="4">
        <v>3</v>
      </c>
      <c r="K226" s="4">
        <v>3</v>
      </c>
      <c r="L226" s="4">
        <v>3</v>
      </c>
      <c r="M226" s="4">
        <v>3</v>
      </c>
      <c r="N226" s="4">
        <v>3</v>
      </c>
      <c r="O226" s="4">
        <v>3</v>
      </c>
      <c r="P226" s="4">
        <v>3</v>
      </c>
      <c r="Q226" s="4">
        <v>3</v>
      </c>
      <c r="R226" s="4">
        <v>3</v>
      </c>
      <c r="S226" s="4">
        <v>3</v>
      </c>
      <c r="T226" s="4">
        <v>3</v>
      </c>
      <c r="U226" s="4">
        <v>3</v>
      </c>
      <c r="V226" s="4">
        <v>3</v>
      </c>
      <c r="W226" s="4">
        <v>3</v>
      </c>
      <c r="X226" s="4">
        <v>3</v>
      </c>
      <c r="Y226" s="4">
        <v>3</v>
      </c>
      <c r="Z226" s="4">
        <v>3</v>
      </c>
      <c r="AA226" s="4">
        <v>3</v>
      </c>
      <c r="AB226" s="4">
        <v>3</v>
      </c>
      <c r="AC226" s="5">
        <v>0</v>
      </c>
      <c r="AD226" s="4">
        <v>0</v>
      </c>
    </row>
    <row r="227" spans="1:30" x14ac:dyDescent="0.35">
      <c r="A227" s="38"/>
      <c r="B227" s="27"/>
      <c r="C227" s="28" t="s">
        <v>139</v>
      </c>
      <c r="D227" s="29"/>
      <c r="E227" s="30" t="s">
        <v>103</v>
      </c>
      <c r="F227" s="31"/>
      <c r="G227" s="4">
        <v>2</v>
      </c>
      <c r="H227" s="4">
        <v>2</v>
      </c>
      <c r="I227" s="4">
        <v>2</v>
      </c>
      <c r="J227" s="4">
        <v>2</v>
      </c>
      <c r="K227" s="4">
        <v>2</v>
      </c>
      <c r="L227" s="4">
        <v>2</v>
      </c>
      <c r="M227" s="4">
        <v>2</v>
      </c>
      <c r="N227" s="4">
        <v>2</v>
      </c>
      <c r="O227" s="4">
        <v>2</v>
      </c>
      <c r="P227" s="4">
        <v>2</v>
      </c>
      <c r="Q227" s="4">
        <v>2</v>
      </c>
      <c r="R227" s="4">
        <v>2</v>
      </c>
      <c r="S227" s="4">
        <v>2</v>
      </c>
      <c r="T227" s="4">
        <v>2</v>
      </c>
      <c r="U227" s="4">
        <v>2</v>
      </c>
      <c r="V227" s="4">
        <v>2</v>
      </c>
      <c r="W227" s="4">
        <v>2</v>
      </c>
      <c r="X227" s="4">
        <v>2</v>
      </c>
      <c r="Y227" s="4">
        <v>2</v>
      </c>
      <c r="Z227" s="4">
        <v>2</v>
      </c>
      <c r="AA227" s="4">
        <v>2</v>
      </c>
      <c r="AB227" s="4">
        <v>2</v>
      </c>
      <c r="AC227" s="5">
        <v>0</v>
      </c>
      <c r="AD227" s="4">
        <v>0</v>
      </c>
    </row>
    <row r="228" spans="1:30" x14ac:dyDescent="0.35">
      <c r="A228" s="38"/>
      <c r="B228" s="27" t="s">
        <v>16</v>
      </c>
      <c r="C228" s="28" t="s">
        <v>63</v>
      </c>
      <c r="D228" s="29"/>
      <c r="E228" s="30" t="s">
        <v>96</v>
      </c>
      <c r="F228" s="31"/>
      <c r="G228" s="4">
        <v>2</v>
      </c>
      <c r="H228" s="4">
        <v>2</v>
      </c>
      <c r="I228" s="4">
        <v>2</v>
      </c>
      <c r="J228" s="4">
        <v>2</v>
      </c>
      <c r="K228" s="4">
        <v>2</v>
      </c>
      <c r="L228" s="5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</row>
    <row r="229" spans="1:30" x14ac:dyDescent="0.35">
      <c r="A229" s="38"/>
      <c r="B229" s="27"/>
      <c r="C229" s="28" t="s">
        <v>62</v>
      </c>
      <c r="D229" s="29"/>
      <c r="E229" s="30" t="s">
        <v>95</v>
      </c>
      <c r="F229" s="31"/>
      <c r="G229" s="4">
        <v>2</v>
      </c>
      <c r="H229" s="4">
        <v>2</v>
      </c>
      <c r="I229" s="4">
        <v>2</v>
      </c>
      <c r="J229" s="4">
        <v>2</v>
      </c>
      <c r="K229" s="4">
        <v>2</v>
      </c>
      <c r="L229" s="4">
        <v>2</v>
      </c>
      <c r="M229" s="5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</row>
    <row r="230" spans="1:30" x14ac:dyDescent="0.35">
      <c r="A230" s="38"/>
      <c r="B230" s="27"/>
      <c r="C230" s="28" t="s">
        <v>64</v>
      </c>
      <c r="D230" s="29"/>
      <c r="E230" s="30" t="s">
        <v>96</v>
      </c>
      <c r="F230" s="31"/>
      <c r="G230" s="4">
        <v>2</v>
      </c>
      <c r="H230" s="4">
        <v>2</v>
      </c>
      <c r="I230" s="4">
        <v>2</v>
      </c>
      <c r="J230" s="4">
        <v>2</v>
      </c>
      <c r="K230" s="4">
        <v>2</v>
      </c>
      <c r="L230" s="4">
        <v>2</v>
      </c>
      <c r="M230" s="4">
        <v>2</v>
      </c>
      <c r="N230" s="4">
        <v>2</v>
      </c>
      <c r="O230" s="5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</row>
    <row r="231" spans="1:30" x14ac:dyDescent="0.35">
      <c r="A231" s="38"/>
      <c r="B231" s="27"/>
      <c r="C231" s="28" t="s">
        <v>140</v>
      </c>
      <c r="D231" s="29"/>
      <c r="E231" s="30" t="s">
        <v>95</v>
      </c>
      <c r="F231" s="31"/>
      <c r="G231" s="4">
        <v>2</v>
      </c>
      <c r="H231" s="4">
        <v>2</v>
      </c>
      <c r="I231" s="4">
        <v>2</v>
      </c>
      <c r="J231" s="4">
        <v>2</v>
      </c>
      <c r="K231" s="4">
        <v>2</v>
      </c>
      <c r="L231" s="4">
        <v>2</v>
      </c>
      <c r="M231" s="4">
        <v>2</v>
      </c>
      <c r="N231" s="4">
        <v>2</v>
      </c>
      <c r="O231" s="4">
        <v>2</v>
      </c>
      <c r="P231" s="4">
        <v>2</v>
      </c>
      <c r="Q231" s="5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</row>
    <row r="232" spans="1:30" x14ac:dyDescent="0.35">
      <c r="A232" s="38"/>
      <c r="B232" s="27"/>
      <c r="C232" s="28" t="s">
        <v>141</v>
      </c>
      <c r="D232" s="29"/>
      <c r="E232" s="30" t="s">
        <v>96</v>
      </c>
      <c r="F232" s="31"/>
      <c r="G232" s="4">
        <v>3</v>
      </c>
      <c r="H232" s="4">
        <v>3</v>
      </c>
      <c r="I232" s="4">
        <v>3</v>
      </c>
      <c r="J232" s="4">
        <v>3</v>
      </c>
      <c r="K232" s="4">
        <v>3</v>
      </c>
      <c r="L232" s="4">
        <v>3</v>
      </c>
      <c r="M232" s="4">
        <v>3</v>
      </c>
      <c r="N232" s="4">
        <v>3</v>
      </c>
      <c r="O232" s="4">
        <v>3</v>
      </c>
      <c r="P232" s="4">
        <v>3</v>
      </c>
      <c r="Q232" s="4">
        <v>3</v>
      </c>
      <c r="R232" s="4">
        <v>3</v>
      </c>
      <c r="S232" s="4">
        <v>3</v>
      </c>
      <c r="T232" s="4">
        <v>3</v>
      </c>
      <c r="U232" s="5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</row>
    <row r="233" spans="1:30" x14ac:dyDescent="0.35">
      <c r="A233" s="38"/>
      <c r="B233" s="27"/>
      <c r="C233" s="28" t="s">
        <v>142</v>
      </c>
      <c r="D233" s="29"/>
      <c r="E233" s="30" t="s">
        <v>95</v>
      </c>
      <c r="F233" s="31"/>
      <c r="G233" s="4">
        <v>2</v>
      </c>
      <c r="H233" s="4">
        <v>2</v>
      </c>
      <c r="I233" s="4">
        <v>2</v>
      </c>
      <c r="J233" s="4">
        <v>2</v>
      </c>
      <c r="K233" s="4">
        <v>2</v>
      </c>
      <c r="L233" s="4">
        <v>2</v>
      </c>
      <c r="M233" s="4">
        <v>2</v>
      </c>
      <c r="N233" s="4">
        <v>2</v>
      </c>
      <c r="O233" s="4">
        <v>2</v>
      </c>
      <c r="P233" s="4">
        <v>2</v>
      </c>
      <c r="Q233" s="4">
        <v>2</v>
      </c>
      <c r="R233" s="4">
        <v>2</v>
      </c>
      <c r="S233" s="4">
        <v>2</v>
      </c>
      <c r="T233" s="4">
        <v>2</v>
      </c>
      <c r="U233" s="5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</row>
    <row r="234" spans="1:30" x14ac:dyDescent="0.35">
      <c r="A234" s="38"/>
      <c r="B234" s="27"/>
      <c r="C234" s="28" t="s">
        <v>143</v>
      </c>
      <c r="D234" s="29"/>
      <c r="E234" s="30" t="s">
        <v>96</v>
      </c>
      <c r="F234" s="31"/>
      <c r="G234" s="4">
        <v>2</v>
      </c>
      <c r="H234" s="4">
        <v>2</v>
      </c>
      <c r="I234" s="4">
        <v>2</v>
      </c>
      <c r="J234" s="4">
        <v>2</v>
      </c>
      <c r="K234" s="4">
        <v>2</v>
      </c>
      <c r="L234" s="4">
        <v>2</v>
      </c>
      <c r="M234" s="4">
        <v>2</v>
      </c>
      <c r="N234" s="4">
        <v>2</v>
      </c>
      <c r="O234" s="4">
        <v>2</v>
      </c>
      <c r="P234" s="4">
        <v>2</v>
      </c>
      <c r="Q234" s="4">
        <v>2</v>
      </c>
      <c r="R234" s="4">
        <v>2</v>
      </c>
      <c r="S234" s="4">
        <v>2</v>
      </c>
      <c r="T234" s="4">
        <v>2</v>
      </c>
      <c r="U234" s="4">
        <v>2</v>
      </c>
      <c r="V234" s="4">
        <v>2</v>
      </c>
      <c r="W234" s="5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</row>
    <row r="235" spans="1:30" x14ac:dyDescent="0.35">
      <c r="A235" s="38"/>
      <c r="B235" s="27"/>
      <c r="C235" s="28" t="s">
        <v>144</v>
      </c>
      <c r="D235" s="29"/>
      <c r="E235" s="30" t="s">
        <v>95</v>
      </c>
      <c r="F235" s="31"/>
      <c r="G235" s="4">
        <v>2</v>
      </c>
      <c r="H235" s="4">
        <v>2</v>
      </c>
      <c r="I235" s="4">
        <v>2</v>
      </c>
      <c r="J235" s="4">
        <v>2</v>
      </c>
      <c r="K235" s="4">
        <v>2</v>
      </c>
      <c r="L235" s="4">
        <v>2</v>
      </c>
      <c r="M235" s="4">
        <v>2</v>
      </c>
      <c r="N235" s="4">
        <v>2</v>
      </c>
      <c r="O235" s="4">
        <v>2</v>
      </c>
      <c r="P235" s="4">
        <v>2</v>
      </c>
      <c r="Q235" s="4">
        <v>2</v>
      </c>
      <c r="R235" s="4">
        <v>2</v>
      </c>
      <c r="S235" s="4">
        <v>2</v>
      </c>
      <c r="T235" s="4">
        <v>2</v>
      </c>
      <c r="U235" s="4">
        <v>2</v>
      </c>
      <c r="V235" s="4">
        <v>2</v>
      </c>
      <c r="W235" s="4">
        <v>2</v>
      </c>
      <c r="X235" s="5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</row>
    <row r="236" spans="1:30" x14ac:dyDescent="0.35">
      <c r="A236" s="38"/>
      <c r="B236" s="27"/>
      <c r="C236" s="28" t="s">
        <v>145</v>
      </c>
      <c r="D236" s="29"/>
      <c r="E236" s="30" t="s">
        <v>96</v>
      </c>
      <c r="F236" s="31"/>
      <c r="G236" s="4">
        <v>2</v>
      </c>
      <c r="H236" s="4">
        <v>2</v>
      </c>
      <c r="I236" s="4">
        <v>2</v>
      </c>
      <c r="J236" s="4">
        <v>2</v>
      </c>
      <c r="K236" s="4">
        <v>2</v>
      </c>
      <c r="L236" s="4">
        <v>2</v>
      </c>
      <c r="M236" s="4">
        <v>2</v>
      </c>
      <c r="N236" s="4">
        <v>2</v>
      </c>
      <c r="O236" s="4">
        <v>2</v>
      </c>
      <c r="P236" s="4">
        <v>2</v>
      </c>
      <c r="Q236" s="4">
        <v>2</v>
      </c>
      <c r="R236" s="4">
        <v>2</v>
      </c>
      <c r="S236" s="4">
        <v>2</v>
      </c>
      <c r="T236" s="4">
        <v>2</v>
      </c>
      <c r="U236" s="4">
        <v>2</v>
      </c>
      <c r="V236" s="4">
        <v>2</v>
      </c>
      <c r="W236" s="4">
        <v>2</v>
      </c>
      <c r="X236" s="5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</row>
    <row r="237" spans="1:30" x14ac:dyDescent="0.35">
      <c r="A237" s="38"/>
      <c r="B237" s="27"/>
      <c r="C237" s="28" t="s">
        <v>68</v>
      </c>
      <c r="D237" s="29"/>
      <c r="E237" s="30" t="s">
        <v>95</v>
      </c>
      <c r="F237" s="31"/>
      <c r="G237" s="4">
        <v>2</v>
      </c>
      <c r="H237" s="4">
        <v>2</v>
      </c>
      <c r="I237" s="4">
        <v>2</v>
      </c>
      <c r="J237" s="4">
        <v>2</v>
      </c>
      <c r="K237" s="4">
        <v>2</v>
      </c>
      <c r="L237" s="4">
        <v>2</v>
      </c>
      <c r="M237" s="4">
        <v>2</v>
      </c>
      <c r="N237" s="4">
        <v>2</v>
      </c>
      <c r="O237" s="4">
        <v>2</v>
      </c>
      <c r="P237" s="4">
        <v>2</v>
      </c>
      <c r="Q237" s="4">
        <v>2</v>
      </c>
      <c r="R237" s="4">
        <v>2</v>
      </c>
      <c r="S237" s="4">
        <v>2</v>
      </c>
      <c r="T237" s="4">
        <v>2</v>
      </c>
      <c r="U237" s="4">
        <v>2</v>
      </c>
      <c r="V237" s="4">
        <v>2</v>
      </c>
      <c r="W237" s="4">
        <v>2</v>
      </c>
      <c r="X237" s="4">
        <v>2</v>
      </c>
      <c r="Y237" s="4">
        <v>2</v>
      </c>
      <c r="Z237" s="5">
        <v>0</v>
      </c>
      <c r="AA237" s="4">
        <v>0</v>
      </c>
      <c r="AB237" s="4">
        <v>0</v>
      </c>
      <c r="AC237" s="4">
        <v>0</v>
      </c>
      <c r="AD237" s="4">
        <v>0</v>
      </c>
    </row>
    <row r="238" spans="1:30" x14ac:dyDescent="0.35">
      <c r="A238" s="38"/>
      <c r="B238" s="27"/>
      <c r="C238" s="28" t="s">
        <v>270</v>
      </c>
      <c r="D238" s="29"/>
      <c r="E238" s="30" t="s">
        <v>96</v>
      </c>
      <c r="F238" s="31"/>
      <c r="G238" s="4">
        <v>2</v>
      </c>
      <c r="H238" s="4">
        <v>2</v>
      </c>
      <c r="I238" s="4">
        <v>2</v>
      </c>
      <c r="J238" s="4">
        <v>2</v>
      </c>
      <c r="K238" s="4">
        <v>2</v>
      </c>
      <c r="L238" s="4">
        <v>2</v>
      </c>
      <c r="M238" s="4">
        <v>2</v>
      </c>
      <c r="N238" s="4">
        <v>2</v>
      </c>
      <c r="O238" s="4">
        <v>2</v>
      </c>
      <c r="P238" s="4">
        <v>2</v>
      </c>
      <c r="Q238" s="4">
        <v>2</v>
      </c>
      <c r="R238" s="4">
        <v>2</v>
      </c>
      <c r="S238" s="4">
        <v>2</v>
      </c>
      <c r="T238" s="4">
        <v>2</v>
      </c>
      <c r="U238" s="4">
        <v>2</v>
      </c>
      <c r="V238" s="4">
        <v>2</v>
      </c>
      <c r="W238" s="4">
        <v>2</v>
      </c>
      <c r="X238" s="4">
        <v>2</v>
      </c>
      <c r="Y238" s="4">
        <v>2</v>
      </c>
      <c r="Z238" s="4">
        <v>2</v>
      </c>
      <c r="AA238" s="5">
        <v>0</v>
      </c>
      <c r="AB238" s="4">
        <v>0</v>
      </c>
      <c r="AC238" s="4">
        <v>0</v>
      </c>
      <c r="AD238" s="4">
        <v>0</v>
      </c>
    </row>
    <row r="239" spans="1:30" x14ac:dyDescent="0.35">
      <c r="A239" s="38"/>
      <c r="B239" s="27"/>
      <c r="C239" s="28" t="s">
        <v>69</v>
      </c>
      <c r="D239" s="29"/>
      <c r="E239" s="30" t="s">
        <v>95</v>
      </c>
      <c r="F239" s="31"/>
      <c r="G239" s="4">
        <v>2</v>
      </c>
      <c r="H239" s="4">
        <v>2</v>
      </c>
      <c r="I239" s="4">
        <v>2</v>
      </c>
      <c r="J239" s="4">
        <v>2</v>
      </c>
      <c r="K239" s="4">
        <v>2</v>
      </c>
      <c r="L239" s="4">
        <v>2</v>
      </c>
      <c r="M239" s="4">
        <v>2</v>
      </c>
      <c r="N239" s="4">
        <v>2</v>
      </c>
      <c r="O239" s="4">
        <v>2</v>
      </c>
      <c r="P239" s="4">
        <v>2</v>
      </c>
      <c r="Q239" s="4">
        <v>2</v>
      </c>
      <c r="R239" s="4">
        <v>2</v>
      </c>
      <c r="S239" s="4">
        <v>2</v>
      </c>
      <c r="T239" s="4">
        <v>2</v>
      </c>
      <c r="U239" s="4">
        <v>2</v>
      </c>
      <c r="V239" s="4">
        <v>2</v>
      </c>
      <c r="W239" s="4">
        <v>2</v>
      </c>
      <c r="X239" s="4">
        <v>2</v>
      </c>
      <c r="Y239" s="4">
        <v>2</v>
      </c>
      <c r="Z239" s="4">
        <v>2</v>
      </c>
      <c r="AA239" s="4">
        <v>2</v>
      </c>
      <c r="AB239" s="5">
        <v>0</v>
      </c>
      <c r="AC239" s="4">
        <v>0</v>
      </c>
      <c r="AD239" s="4">
        <v>0</v>
      </c>
    </row>
    <row r="240" spans="1:30" x14ac:dyDescent="0.35">
      <c r="A240" s="38"/>
      <c r="B240" s="27"/>
      <c r="C240" s="28" t="s">
        <v>72</v>
      </c>
      <c r="D240" s="29"/>
      <c r="E240" s="30" t="s">
        <v>96</v>
      </c>
      <c r="F240" s="31"/>
      <c r="G240" s="4">
        <v>2</v>
      </c>
      <c r="H240" s="4">
        <v>2</v>
      </c>
      <c r="I240" s="4">
        <v>2</v>
      </c>
      <c r="J240" s="4">
        <v>2</v>
      </c>
      <c r="K240" s="4">
        <v>2</v>
      </c>
      <c r="L240" s="4">
        <v>2</v>
      </c>
      <c r="M240" s="4">
        <v>2</v>
      </c>
      <c r="N240" s="4">
        <v>2</v>
      </c>
      <c r="O240" s="4">
        <v>2</v>
      </c>
      <c r="P240" s="4">
        <v>2</v>
      </c>
      <c r="Q240" s="4">
        <v>2</v>
      </c>
      <c r="R240" s="4">
        <v>2</v>
      </c>
      <c r="S240" s="4">
        <v>2</v>
      </c>
      <c r="T240" s="4">
        <v>2</v>
      </c>
      <c r="U240" s="4">
        <v>2</v>
      </c>
      <c r="V240" s="4">
        <v>2</v>
      </c>
      <c r="W240" s="4">
        <v>2</v>
      </c>
      <c r="X240" s="4">
        <v>2</v>
      </c>
      <c r="Y240" s="4">
        <v>2</v>
      </c>
      <c r="Z240" s="4">
        <v>2</v>
      </c>
      <c r="AA240" s="4">
        <v>2</v>
      </c>
      <c r="AB240" s="4">
        <v>2</v>
      </c>
      <c r="AC240" s="5">
        <v>0</v>
      </c>
      <c r="AD240" s="4">
        <v>0</v>
      </c>
    </row>
    <row r="241" spans="1:30" x14ac:dyDescent="0.35">
      <c r="A241" s="38"/>
      <c r="B241" s="27" t="s">
        <v>73</v>
      </c>
      <c r="C241" s="28" t="s">
        <v>146</v>
      </c>
      <c r="D241" s="29"/>
      <c r="E241" s="30" t="s">
        <v>17</v>
      </c>
      <c r="F241" s="31"/>
      <c r="G241" s="4">
        <v>4</v>
      </c>
      <c r="H241" s="4">
        <v>4</v>
      </c>
      <c r="I241" s="4">
        <v>4</v>
      </c>
      <c r="J241" s="4">
        <v>4</v>
      </c>
      <c r="K241" s="4">
        <v>4</v>
      </c>
      <c r="L241" s="4">
        <v>4</v>
      </c>
      <c r="M241" s="4">
        <v>4</v>
      </c>
      <c r="N241" s="4">
        <v>4</v>
      </c>
      <c r="O241" s="4">
        <v>4</v>
      </c>
      <c r="P241" s="4">
        <v>4</v>
      </c>
      <c r="Q241" s="4">
        <v>4</v>
      </c>
      <c r="R241" s="4">
        <v>4</v>
      </c>
      <c r="S241" s="4">
        <v>4</v>
      </c>
      <c r="T241" s="4">
        <v>4</v>
      </c>
      <c r="U241" s="4">
        <v>4</v>
      </c>
      <c r="V241" s="4">
        <v>4</v>
      </c>
      <c r="W241" s="4">
        <v>4</v>
      </c>
      <c r="X241" s="4">
        <v>4</v>
      </c>
      <c r="Y241" s="4">
        <v>4</v>
      </c>
      <c r="Z241" s="4">
        <v>4</v>
      </c>
      <c r="AA241" s="4">
        <v>4</v>
      </c>
      <c r="AB241" s="4">
        <v>4</v>
      </c>
      <c r="AC241" s="4">
        <v>4</v>
      </c>
      <c r="AD241" s="5">
        <v>0</v>
      </c>
    </row>
    <row r="242" spans="1:30" x14ac:dyDescent="0.35">
      <c r="A242" s="38"/>
      <c r="B242" s="27"/>
      <c r="C242" s="28" t="s">
        <v>147</v>
      </c>
      <c r="D242" s="29"/>
      <c r="E242" s="30" t="s">
        <v>17</v>
      </c>
      <c r="F242" s="31"/>
      <c r="G242" s="4">
        <v>2</v>
      </c>
      <c r="H242" s="4">
        <v>2</v>
      </c>
      <c r="I242" s="4">
        <v>2</v>
      </c>
      <c r="J242" s="4">
        <v>2</v>
      </c>
      <c r="K242" s="4">
        <v>2</v>
      </c>
      <c r="L242" s="4">
        <v>2</v>
      </c>
      <c r="M242" s="4">
        <v>2</v>
      </c>
      <c r="N242" s="4">
        <v>2</v>
      </c>
      <c r="O242" s="4">
        <v>2</v>
      </c>
      <c r="P242" s="4">
        <v>2</v>
      </c>
      <c r="Q242" s="4">
        <v>2</v>
      </c>
      <c r="R242" s="4">
        <v>2</v>
      </c>
      <c r="S242" s="4">
        <v>2</v>
      </c>
      <c r="T242" s="4">
        <v>2</v>
      </c>
      <c r="U242" s="4">
        <v>2</v>
      </c>
      <c r="V242" s="4">
        <v>2</v>
      </c>
      <c r="W242" s="4">
        <v>2</v>
      </c>
      <c r="X242" s="4">
        <v>2</v>
      </c>
      <c r="Y242" s="4">
        <v>2</v>
      </c>
      <c r="Z242" s="4">
        <v>2</v>
      </c>
      <c r="AA242" s="4">
        <v>2</v>
      </c>
      <c r="AB242" s="4">
        <v>2</v>
      </c>
      <c r="AC242" s="4">
        <v>2</v>
      </c>
      <c r="AD242" s="5">
        <v>0</v>
      </c>
    </row>
    <row r="243" spans="1:30" x14ac:dyDescent="0.35">
      <c r="A243" s="38"/>
      <c r="B243" s="27"/>
      <c r="C243" s="28" t="s">
        <v>148</v>
      </c>
      <c r="D243" s="29"/>
      <c r="E243" s="30" t="s">
        <v>94</v>
      </c>
      <c r="F243" s="31"/>
      <c r="G243" s="4">
        <v>2</v>
      </c>
      <c r="H243" s="4">
        <v>2</v>
      </c>
      <c r="I243" s="4">
        <v>2</v>
      </c>
      <c r="J243" s="4">
        <v>2</v>
      </c>
      <c r="K243" s="4">
        <v>2</v>
      </c>
      <c r="L243" s="4">
        <v>2</v>
      </c>
      <c r="M243" s="4">
        <v>2</v>
      </c>
      <c r="N243" s="4">
        <v>2</v>
      </c>
      <c r="O243" s="4">
        <v>2</v>
      </c>
      <c r="P243" s="4">
        <v>2</v>
      </c>
      <c r="Q243" s="4">
        <v>2</v>
      </c>
      <c r="R243" s="4">
        <v>2</v>
      </c>
      <c r="S243" s="4">
        <v>2</v>
      </c>
      <c r="T243" s="4">
        <v>2</v>
      </c>
      <c r="U243" s="4">
        <v>2</v>
      </c>
      <c r="V243" s="4">
        <v>2</v>
      </c>
      <c r="W243" s="4">
        <v>2</v>
      </c>
      <c r="X243" s="4">
        <v>2</v>
      </c>
      <c r="Y243" s="4">
        <v>2</v>
      </c>
      <c r="Z243" s="4">
        <v>2</v>
      </c>
      <c r="AA243" s="4">
        <v>2</v>
      </c>
      <c r="AB243" s="4">
        <v>2</v>
      </c>
      <c r="AC243" s="4">
        <v>2</v>
      </c>
      <c r="AD243" s="5">
        <v>0</v>
      </c>
    </row>
    <row r="244" spans="1:30" x14ac:dyDescent="0.35">
      <c r="A244" s="38"/>
      <c r="B244" s="27"/>
      <c r="C244" s="28" t="s">
        <v>149</v>
      </c>
      <c r="D244" s="29"/>
      <c r="E244" s="30" t="s">
        <v>96</v>
      </c>
      <c r="F244" s="31"/>
      <c r="G244" s="4">
        <v>2</v>
      </c>
      <c r="H244" s="4">
        <v>2</v>
      </c>
      <c r="I244" s="4">
        <v>2</v>
      </c>
      <c r="J244" s="4">
        <v>2</v>
      </c>
      <c r="K244" s="4">
        <v>2</v>
      </c>
      <c r="L244" s="4">
        <v>2</v>
      </c>
      <c r="M244" s="4">
        <v>2</v>
      </c>
      <c r="N244" s="4">
        <v>2</v>
      </c>
      <c r="O244" s="4">
        <v>2</v>
      </c>
      <c r="P244" s="4">
        <v>2</v>
      </c>
      <c r="Q244" s="4">
        <v>2</v>
      </c>
      <c r="R244" s="4">
        <v>2</v>
      </c>
      <c r="S244" s="4">
        <v>2</v>
      </c>
      <c r="T244" s="4">
        <v>2</v>
      </c>
      <c r="U244" s="4">
        <v>2</v>
      </c>
      <c r="V244" s="4">
        <v>2</v>
      </c>
      <c r="W244" s="4">
        <v>2</v>
      </c>
      <c r="X244" s="4">
        <v>2</v>
      </c>
      <c r="Y244" s="4">
        <v>2</v>
      </c>
      <c r="Z244" s="4">
        <v>2</v>
      </c>
      <c r="AA244" s="4">
        <v>2</v>
      </c>
      <c r="AB244" s="4">
        <v>2</v>
      </c>
      <c r="AC244" s="4">
        <v>2</v>
      </c>
      <c r="AD244" s="5">
        <v>0</v>
      </c>
    </row>
    <row r="245" spans="1:30" x14ac:dyDescent="0.35">
      <c r="A245" s="38"/>
      <c r="B245" s="27"/>
      <c r="C245" s="28" t="s">
        <v>150</v>
      </c>
      <c r="D245" s="29"/>
      <c r="E245" s="30" t="s">
        <v>95</v>
      </c>
      <c r="F245" s="31"/>
      <c r="G245" s="4">
        <v>2</v>
      </c>
      <c r="H245" s="4">
        <v>2</v>
      </c>
      <c r="I245" s="4">
        <v>2</v>
      </c>
      <c r="J245" s="4">
        <v>2</v>
      </c>
      <c r="K245" s="4">
        <v>2</v>
      </c>
      <c r="L245" s="4">
        <v>2</v>
      </c>
      <c r="M245" s="4">
        <v>2</v>
      </c>
      <c r="N245" s="4">
        <v>2</v>
      </c>
      <c r="O245" s="4">
        <v>2</v>
      </c>
      <c r="P245" s="4">
        <v>2</v>
      </c>
      <c r="Q245" s="4">
        <v>2</v>
      </c>
      <c r="R245" s="4">
        <v>2</v>
      </c>
      <c r="S245" s="4">
        <v>2</v>
      </c>
      <c r="T245" s="4">
        <v>2</v>
      </c>
      <c r="U245" s="4">
        <v>2</v>
      </c>
      <c r="V245" s="4">
        <v>2</v>
      </c>
      <c r="W245" s="4">
        <v>2</v>
      </c>
      <c r="X245" s="4">
        <v>2</v>
      </c>
      <c r="Y245" s="4">
        <v>2</v>
      </c>
      <c r="Z245" s="4">
        <v>2</v>
      </c>
      <c r="AA245" s="4">
        <v>2</v>
      </c>
      <c r="AB245" s="4">
        <v>2</v>
      </c>
      <c r="AC245" s="4">
        <v>2</v>
      </c>
      <c r="AD245" s="5">
        <v>0</v>
      </c>
    </row>
    <row r="246" spans="1:30" x14ac:dyDescent="0.35">
      <c r="A246" s="38"/>
      <c r="B246" s="45" t="s">
        <v>12</v>
      </c>
      <c r="C246" s="46"/>
      <c r="D246" s="47"/>
      <c r="E246" s="42" t="s">
        <v>11</v>
      </c>
      <c r="F246" s="42"/>
      <c r="G246" s="30">
        <f>SUM(G122:G245)</f>
        <v>401</v>
      </c>
      <c r="H246" s="31"/>
      <c r="I246" s="4">
        <f t="shared" ref="I246:AD246" si="2">SUM(I122:I245)</f>
        <v>389</v>
      </c>
      <c r="J246" s="4">
        <f t="shared" si="2"/>
        <v>378</v>
      </c>
      <c r="K246" s="4">
        <f t="shared" si="2"/>
        <v>359</v>
      </c>
      <c r="L246" s="4">
        <f t="shared" si="2"/>
        <v>351</v>
      </c>
      <c r="M246" s="4">
        <f t="shared" si="2"/>
        <v>324</v>
      </c>
      <c r="N246" s="4">
        <f t="shared" si="2"/>
        <v>318</v>
      </c>
      <c r="O246" s="4">
        <f t="shared" si="2"/>
        <v>300</v>
      </c>
      <c r="P246" s="4">
        <f t="shared" si="2"/>
        <v>293</v>
      </c>
      <c r="Q246" s="4">
        <f t="shared" si="2"/>
        <v>261</v>
      </c>
      <c r="R246" s="4">
        <f t="shared" si="2"/>
        <v>248</v>
      </c>
      <c r="S246" s="4">
        <f t="shared" si="2"/>
        <v>232</v>
      </c>
      <c r="T246" s="4">
        <f t="shared" si="2"/>
        <v>211</v>
      </c>
      <c r="U246" s="4">
        <f t="shared" si="2"/>
        <v>186</v>
      </c>
      <c r="V246" s="4">
        <f t="shared" si="2"/>
        <v>162</v>
      </c>
      <c r="W246" s="4">
        <f t="shared" si="2"/>
        <v>134</v>
      </c>
      <c r="X246" s="4">
        <f t="shared" si="2"/>
        <v>110</v>
      </c>
      <c r="Y246" s="4">
        <f t="shared" si="2"/>
        <v>89</v>
      </c>
      <c r="Z246" s="4">
        <f t="shared" si="2"/>
        <v>68</v>
      </c>
      <c r="AA246" s="4">
        <f t="shared" si="2"/>
        <v>40</v>
      </c>
      <c r="AB246" s="4">
        <f t="shared" si="2"/>
        <v>23</v>
      </c>
      <c r="AC246" s="4">
        <f t="shared" si="2"/>
        <v>12</v>
      </c>
      <c r="AD246" s="4">
        <f t="shared" si="2"/>
        <v>0</v>
      </c>
    </row>
    <row r="247" spans="1:30" x14ac:dyDescent="0.35">
      <c r="A247" s="39"/>
      <c r="B247" s="48"/>
      <c r="C247" s="49"/>
      <c r="D247" s="50"/>
      <c r="E247" s="42" t="s">
        <v>18</v>
      </c>
      <c r="F247" s="42"/>
      <c r="G247" s="30">
        <f>SUM(H122:H245)</f>
        <v>404</v>
      </c>
      <c r="H247" s="31"/>
      <c r="I247" s="4">
        <f t="shared" ref="I247:AC247" si="3">SUM(I18:I116)</f>
        <v>392</v>
      </c>
      <c r="J247" s="4">
        <f t="shared" si="3"/>
        <v>372</v>
      </c>
      <c r="K247" s="4">
        <f t="shared" si="3"/>
        <v>352</v>
      </c>
      <c r="L247" s="4">
        <f t="shared" si="3"/>
        <v>340</v>
      </c>
      <c r="M247" s="4">
        <f t="shared" si="3"/>
        <v>310</v>
      </c>
      <c r="N247" s="4">
        <f t="shared" si="3"/>
        <v>306</v>
      </c>
      <c r="O247" s="4">
        <f t="shared" si="3"/>
        <v>292</v>
      </c>
      <c r="P247" s="4">
        <f t="shared" si="3"/>
        <v>281</v>
      </c>
      <c r="Q247" s="4">
        <f t="shared" si="3"/>
        <v>251</v>
      </c>
      <c r="R247" s="4">
        <f t="shared" si="3"/>
        <v>238</v>
      </c>
      <c r="S247" s="4">
        <f t="shared" si="3"/>
        <v>216</v>
      </c>
      <c r="T247" s="4">
        <f t="shared" si="3"/>
        <v>190</v>
      </c>
      <c r="U247" s="4">
        <f t="shared" si="3"/>
        <v>172</v>
      </c>
      <c r="V247" s="4">
        <f t="shared" si="3"/>
        <v>157</v>
      </c>
      <c r="W247" s="4">
        <f t="shared" si="3"/>
        <v>134</v>
      </c>
      <c r="X247" s="4">
        <f t="shared" si="3"/>
        <v>113</v>
      </c>
      <c r="Y247" s="4">
        <f t="shared" si="3"/>
        <v>95</v>
      </c>
      <c r="Z247" s="4">
        <f t="shared" si="3"/>
        <v>68</v>
      </c>
      <c r="AA247" s="4">
        <f t="shared" si="3"/>
        <v>45</v>
      </c>
      <c r="AB247" s="4">
        <f t="shared" si="3"/>
        <v>30</v>
      </c>
      <c r="AC247" s="4">
        <f t="shared" si="3"/>
        <v>12</v>
      </c>
      <c r="AD247" s="4">
        <f>SUM(AD18:AD116)</f>
        <v>0</v>
      </c>
    </row>
  </sheetData>
  <autoFilter ref="B121:AD247" xr:uid="{EC02C6F9-9401-4E10-B7C1-B2080F2411E7}">
    <filterColumn colId="1" showButton="0"/>
    <filterColumn colId="3" showButton="0"/>
  </autoFilter>
  <mergeCells count="498">
    <mergeCell ref="E220:F220"/>
    <mergeCell ref="C220:D220"/>
    <mergeCell ref="A122:A247"/>
    <mergeCell ref="E155:F155"/>
    <mergeCell ref="C156:D156"/>
    <mergeCell ref="C158:D158"/>
    <mergeCell ref="C244:D244"/>
    <mergeCell ref="E244:F244"/>
    <mergeCell ref="E245:F245"/>
    <mergeCell ref="C245:D245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167:D167"/>
    <mergeCell ref="E169:F169"/>
    <mergeCell ref="C169:D169"/>
    <mergeCell ref="E209:F209"/>
    <mergeCell ref="G246:H246"/>
    <mergeCell ref="G247:H247"/>
    <mergeCell ref="B246:D247"/>
    <mergeCell ref="E127:F127"/>
    <mergeCell ref="E138:F138"/>
    <mergeCell ref="B125:B140"/>
    <mergeCell ref="E140:F140"/>
    <mergeCell ref="E142:F142"/>
    <mergeCell ref="C138:D138"/>
    <mergeCell ref="C140:D140"/>
    <mergeCell ref="C142:D142"/>
    <mergeCell ref="C127:D127"/>
    <mergeCell ref="E144:F144"/>
    <mergeCell ref="C144:D144"/>
    <mergeCell ref="E146:F146"/>
    <mergeCell ref="C146:D146"/>
    <mergeCell ref="E148:F148"/>
    <mergeCell ref="C148:D148"/>
    <mergeCell ref="E152:F152"/>
    <mergeCell ref="E185:F185"/>
    <mergeCell ref="C185:D185"/>
    <mergeCell ref="E207:F207"/>
    <mergeCell ref="C207:D207"/>
    <mergeCell ref="C152:D152"/>
    <mergeCell ref="A16:AD16"/>
    <mergeCell ref="C238:D238"/>
    <mergeCell ref="C239:D239"/>
    <mergeCell ref="C240:D240"/>
    <mergeCell ref="C241:D241"/>
    <mergeCell ref="C242:D242"/>
    <mergeCell ref="C243:D243"/>
    <mergeCell ref="C215:D215"/>
    <mergeCell ref="C214:D214"/>
    <mergeCell ref="C216:D216"/>
    <mergeCell ref="C217:D217"/>
    <mergeCell ref="C218:D218"/>
    <mergeCell ref="C219:D219"/>
    <mergeCell ref="C221:D221"/>
    <mergeCell ref="C222:D222"/>
    <mergeCell ref="C203:D203"/>
    <mergeCell ref="C204:D204"/>
    <mergeCell ref="C205:D205"/>
    <mergeCell ref="C206:D206"/>
    <mergeCell ref="C208:D208"/>
    <mergeCell ref="C210:D210"/>
    <mergeCell ref="C212:D212"/>
    <mergeCell ref="C153:D153"/>
    <mergeCell ref="C154:D154"/>
    <mergeCell ref="C209:D209"/>
    <mergeCell ref="C181:D181"/>
    <mergeCell ref="C182:D182"/>
    <mergeCell ref="C183:D183"/>
    <mergeCell ref="C172:D172"/>
    <mergeCell ref="C174:D174"/>
    <mergeCell ref="C176:D176"/>
    <mergeCell ref="C178:D178"/>
    <mergeCell ref="C179:D179"/>
    <mergeCell ref="C180:D180"/>
    <mergeCell ref="C168:D168"/>
    <mergeCell ref="C170:D170"/>
    <mergeCell ref="C171:D171"/>
    <mergeCell ref="E171:F171"/>
    <mergeCell ref="E198:F198"/>
    <mergeCell ref="E199:F199"/>
    <mergeCell ref="E200:F200"/>
    <mergeCell ref="E184:F184"/>
    <mergeCell ref="E186:F186"/>
    <mergeCell ref="E191:F191"/>
    <mergeCell ref="E196:F196"/>
    <mergeCell ref="E197:F197"/>
    <mergeCell ref="E179:F179"/>
    <mergeCell ref="E180:F180"/>
    <mergeCell ref="E181:F181"/>
    <mergeCell ref="E182:F182"/>
    <mergeCell ref="E183:F183"/>
    <mergeCell ref="E172:F172"/>
    <mergeCell ref="E174:F174"/>
    <mergeCell ref="E176:F176"/>
    <mergeCell ref="E178:F178"/>
    <mergeCell ref="E173:F173"/>
    <mergeCell ref="E175:F175"/>
    <mergeCell ref="E177:F177"/>
    <mergeCell ref="C223:D223"/>
    <mergeCell ref="C224:D224"/>
    <mergeCell ref="C225:D225"/>
    <mergeCell ref="C226:D226"/>
    <mergeCell ref="C227:D227"/>
    <mergeCell ref="C184:D184"/>
    <mergeCell ref="C186:D186"/>
    <mergeCell ref="C197:D197"/>
    <mergeCell ref="C198:D198"/>
    <mergeCell ref="C199:D199"/>
    <mergeCell ref="C200:D200"/>
    <mergeCell ref="C201:D201"/>
    <mergeCell ref="C213:D213"/>
    <mergeCell ref="C187:D187"/>
    <mergeCell ref="C188:D188"/>
    <mergeCell ref="C189:D189"/>
    <mergeCell ref="C190:D190"/>
    <mergeCell ref="C192:D192"/>
    <mergeCell ref="C193:D193"/>
    <mergeCell ref="C194:D194"/>
    <mergeCell ref="C195:D195"/>
    <mergeCell ref="C196:D196"/>
    <mergeCell ref="C211:D211"/>
    <mergeCell ref="C191:D191"/>
    <mergeCell ref="C151:D151"/>
    <mergeCell ref="B122:B124"/>
    <mergeCell ref="C122:D122"/>
    <mergeCell ref="C123:D123"/>
    <mergeCell ref="C124:D124"/>
    <mergeCell ref="B141:B182"/>
    <mergeCell ref="C121:D121"/>
    <mergeCell ref="E122:F122"/>
    <mergeCell ref="E123:F123"/>
    <mergeCell ref="E124:F124"/>
    <mergeCell ref="E125:F125"/>
    <mergeCell ref="E121:F121"/>
    <mergeCell ref="E126:F126"/>
    <mergeCell ref="E164:F164"/>
    <mergeCell ref="E128:F128"/>
    <mergeCell ref="E129:F129"/>
    <mergeCell ref="E161:F161"/>
    <mergeCell ref="C161:D161"/>
    <mergeCell ref="C125:D125"/>
    <mergeCell ref="C126:D126"/>
    <mergeCell ref="C155:D155"/>
    <mergeCell ref="C157:D157"/>
    <mergeCell ref="C159:D159"/>
    <mergeCell ref="C163:D163"/>
    <mergeCell ref="B183:B197"/>
    <mergeCell ref="B198:B227"/>
    <mergeCell ref="B228:B240"/>
    <mergeCell ref="B241:B245"/>
    <mergeCell ref="C128:D128"/>
    <mergeCell ref="C129:D129"/>
    <mergeCell ref="C130:D130"/>
    <mergeCell ref="C131:D131"/>
    <mergeCell ref="C132:D132"/>
    <mergeCell ref="C133:D133"/>
    <mergeCell ref="C143:D143"/>
    <mergeCell ref="C145:D145"/>
    <mergeCell ref="C147:D147"/>
    <mergeCell ref="C202:D202"/>
    <mergeCell ref="C173:D173"/>
    <mergeCell ref="C160:D160"/>
    <mergeCell ref="C162:D162"/>
    <mergeCell ref="C164:D164"/>
    <mergeCell ref="C166:D166"/>
    <mergeCell ref="C175:D175"/>
    <mergeCell ref="C177:D177"/>
    <mergeCell ref="C165:D165"/>
    <mergeCell ref="C149:D149"/>
    <mergeCell ref="C150:D150"/>
    <mergeCell ref="E219:F219"/>
    <mergeCell ref="E215:F215"/>
    <mergeCell ref="E216:F216"/>
    <mergeCell ref="E217:F217"/>
    <mergeCell ref="E218:F218"/>
    <mergeCell ref="E201:F201"/>
    <mergeCell ref="E202:F202"/>
    <mergeCell ref="E203:F203"/>
    <mergeCell ref="E204:F204"/>
    <mergeCell ref="E205:F205"/>
    <mergeCell ref="E206:F206"/>
    <mergeCell ref="E208:F208"/>
    <mergeCell ref="E210:F210"/>
    <mergeCell ref="E212:F212"/>
    <mergeCell ref="E213:F213"/>
    <mergeCell ref="E214:F214"/>
    <mergeCell ref="E211:F211"/>
    <mergeCell ref="E221:F221"/>
    <mergeCell ref="E222:F222"/>
    <mergeCell ref="E223:F223"/>
    <mergeCell ref="E229:F229"/>
    <mergeCell ref="E230:F230"/>
    <mergeCell ref="E231:F231"/>
    <mergeCell ref="E232:F232"/>
    <mergeCell ref="E233:F233"/>
    <mergeCell ref="E246:F246"/>
    <mergeCell ref="E224:F224"/>
    <mergeCell ref="E225:F225"/>
    <mergeCell ref="E226:F226"/>
    <mergeCell ref="E227:F227"/>
    <mergeCell ref="E228:F228"/>
    <mergeCell ref="E247:F247"/>
    <mergeCell ref="E241:F241"/>
    <mergeCell ref="E242:F242"/>
    <mergeCell ref="E243:F243"/>
    <mergeCell ref="E238:F238"/>
    <mergeCell ref="E239:F239"/>
    <mergeCell ref="E240:F240"/>
    <mergeCell ref="E234:F234"/>
    <mergeCell ref="E235:F235"/>
    <mergeCell ref="E236:F236"/>
    <mergeCell ref="E237:F237"/>
    <mergeCell ref="E187:F187"/>
    <mergeCell ref="E188:F188"/>
    <mergeCell ref="E189:F189"/>
    <mergeCell ref="E190:F190"/>
    <mergeCell ref="E192:F192"/>
    <mergeCell ref="E193:F193"/>
    <mergeCell ref="E194:F194"/>
    <mergeCell ref="E195:F195"/>
    <mergeCell ref="E168:F168"/>
    <mergeCell ref="E170:F170"/>
    <mergeCell ref="E143:F143"/>
    <mergeCell ref="E145:F145"/>
    <mergeCell ref="E147:F147"/>
    <mergeCell ref="E149:F149"/>
    <mergeCell ref="E150:F150"/>
    <mergeCell ref="E151:F151"/>
    <mergeCell ref="E153:F153"/>
    <mergeCell ref="E154:F154"/>
    <mergeCell ref="E156:F156"/>
    <mergeCell ref="E158:F158"/>
    <mergeCell ref="E160:F160"/>
    <mergeCell ref="E162:F162"/>
    <mergeCell ref="E166:F166"/>
    <mergeCell ref="E157:F157"/>
    <mergeCell ref="E159:F159"/>
    <mergeCell ref="E163:F163"/>
    <mergeCell ref="E165:F165"/>
    <mergeCell ref="E167:F167"/>
    <mergeCell ref="B112:B116"/>
    <mergeCell ref="B117:D118"/>
    <mergeCell ref="E135:F135"/>
    <mergeCell ref="E136:F136"/>
    <mergeCell ref="E137:F137"/>
    <mergeCell ref="E139:F139"/>
    <mergeCell ref="E141:F141"/>
    <mergeCell ref="E130:F130"/>
    <mergeCell ref="E131:F131"/>
    <mergeCell ref="E132:F132"/>
    <mergeCell ref="E133:F133"/>
    <mergeCell ref="E134:F134"/>
    <mergeCell ref="C134:D134"/>
    <mergeCell ref="C135:D135"/>
    <mergeCell ref="C136:D136"/>
    <mergeCell ref="C137:D137"/>
    <mergeCell ref="C139:D139"/>
    <mergeCell ref="C141:D141"/>
    <mergeCell ref="A120:AD120"/>
    <mergeCell ref="AA119:AB119"/>
    <mergeCell ref="AC119:AD119"/>
    <mergeCell ref="G117:H117"/>
    <mergeCell ref="G118:H118"/>
    <mergeCell ref="I119:J119"/>
    <mergeCell ref="Q119:R119"/>
    <mergeCell ref="S119:T119"/>
    <mergeCell ref="U119:V119"/>
    <mergeCell ref="W119:X119"/>
    <mergeCell ref="Y119:Z119"/>
    <mergeCell ref="E117:F117"/>
    <mergeCell ref="E118:F118"/>
    <mergeCell ref="E119:F119"/>
    <mergeCell ref="G119:H119"/>
    <mergeCell ref="C114:D114"/>
    <mergeCell ref="E114:F114"/>
    <mergeCell ref="C115:D115"/>
    <mergeCell ref="E115:F115"/>
    <mergeCell ref="C116:D116"/>
    <mergeCell ref="E116:F116"/>
    <mergeCell ref="K119:L119"/>
    <mergeCell ref="M119:N119"/>
    <mergeCell ref="O119:P119"/>
    <mergeCell ref="C119:D119"/>
    <mergeCell ref="B99:B111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12:D112"/>
    <mergeCell ref="E112:F112"/>
    <mergeCell ref="C113:D113"/>
    <mergeCell ref="E113:F113"/>
    <mergeCell ref="B73:B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97:D97"/>
    <mergeCell ref="E97:F97"/>
    <mergeCell ref="C98:D98"/>
    <mergeCell ref="E98:F98"/>
    <mergeCell ref="C94:D94"/>
    <mergeCell ref="E94:F94"/>
    <mergeCell ref="C95:D95"/>
    <mergeCell ref="E95:F95"/>
    <mergeCell ref="C96:D96"/>
    <mergeCell ref="E96:F96"/>
    <mergeCell ref="C91:D91"/>
    <mergeCell ref="E91:F91"/>
    <mergeCell ref="C92:D92"/>
    <mergeCell ref="E92:F92"/>
    <mergeCell ref="C93:D93"/>
    <mergeCell ref="E93:F93"/>
    <mergeCell ref="C88:D88"/>
    <mergeCell ref="E88:F88"/>
    <mergeCell ref="C89:D89"/>
    <mergeCell ref="E89:F89"/>
    <mergeCell ref="C90:D90"/>
    <mergeCell ref="E90:F90"/>
    <mergeCell ref="C85:D85"/>
    <mergeCell ref="E85:F85"/>
    <mergeCell ref="C86:D86"/>
    <mergeCell ref="E86:F86"/>
    <mergeCell ref="C87:D87"/>
    <mergeCell ref="E87:F87"/>
    <mergeCell ref="C82:D82"/>
    <mergeCell ref="E82:F82"/>
    <mergeCell ref="C83:D83"/>
    <mergeCell ref="E83:F83"/>
    <mergeCell ref="C84:D84"/>
    <mergeCell ref="E84:F84"/>
    <mergeCell ref="C79:D79"/>
    <mergeCell ref="E79:F79"/>
    <mergeCell ref="C80:D80"/>
    <mergeCell ref="E80:F80"/>
    <mergeCell ref="C81:D81"/>
    <mergeCell ref="E81:F81"/>
    <mergeCell ref="C76:D76"/>
    <mergeCell ref="E76:F76"/>
    <mergeCell ref="C77:D77"/>
    <mergeCell ref="E77:F77"/>
    <mergeCell ref="C78:D78"/>
    <mergeCell ref="E78:F78"/>
    <mergeCell ref="C74:D74"/>
    <mergeCell ref="E74:F74"/>
    <mergeCell ref="B60:B72"/>
    <mergeCell ref="C75:D75"/>
    <mergeCell ref="E75:F75"/>
    <mergeCell ref="C72:D72"/>
    <mergeCell ref="E72:F72"/>
    <mergeCell ref="C73:D73"/>
    <mergeCell ref="E73:F73"/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9:D59"/>
    <mergeCell ref="E59:F59"/>
    <mergeCell ref="C56:D56"/>
    <mergeCell ref="E56:F56"/>
    <mergeCell ref="C57:D57"/>
    <mergeCell ref="E57:F57"/>
    <mergeCell ref="C58:D58"/>
    <mergeCell ref="E58:F58"/>
    <mergeCell ref="C53:D53"/>
    <mergeCell ref="E53:F53"/>
    <mergeCell ref="C54:D54"/>
    <mergeCell ref="E54:F54"/>
    <mergeCell ref="C55:D55"/>
    <mergeCell ref="E55:F55"/>
    <mergeCell ref="E37:F37"/>
    <mergeCell ref="E38:F38"/>
    <mergeCell ref="E39:F39"/>
    <mergeCell ref="C35:D35"/>
    <mergeCell ref="C50:D50"/>
    <mergeCell ref="E50:F50"/>
    <mergeCell ref="C51:D51"/>
    <mergeCell ref="E51:F51"/>
    <mergeCell ref="C52:D52"/>
    <mergeCell ref="E52:F52"/>
    <mergeCell ref="C49:D49"/>
    <mergeCell ref="E49:F49"/>
    <mergeCell ref="C46:D46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E17:F17"/>
    <mergeCell ref="E18:F18"/>
    <mergeCell ref="A1:B1"/>
    <mergeCell ref="A2:B2"/>
    <mergeCell ref="A3:B3"/>
    <mergeCell ref="A4:B4"/>
    <mergeCell ref="B8:E8"/>
    <mergeCell ref="B15:C15"/>
    <mergeCell ref="C17:D17"/>
    <mergeCell ref="A18:A118"/>
    <mergeCell ref="E19:F19"/>
    <mergeCell ref="E20:F20"/>
    <mergeCell ref="B18:B20"/>
    <mergeCell ref="C18:D18"/>
    <mergeCell ref="C19:D19"/>
    <mergeCell ref="C20:D20"/>
    <mergeCell ref="B21:B33"/>
    <mergeCell ref="C34:D34"/>
    <mergeCell ref="E40:F40"/>
    <mergeCell ref="E41:F41"/>
    <mergeCell ref="E42:F42"/>
    <mergeCell ref="E43:F43"/>
    <mergeCell ref="E44:F44"/>
    <mergeCell ref="E45:F45"/>
    <mergeCell ref="E21:F21"/>
    <mergeCell ref="C21:D21"/>
    <mergeCell ref="E22:F22"/>
    <mergeCell ref="E23:F23"/>
    <mergeCell ref="E24:F24"/>
    <mergeCell ref="E25:F25"/>
    <mergeCell ref="E26:F26"/>
    <mergeCell ref="C22:D22"/>
    <mergeCell ref="C23:D23"/>
    <mergeCell ref="C24:D24"/>
    <mergeCell ref="C25:D25"/>
    <mergeCell ref="C26:D26"/>
    <mergeCell ref="B34:B59"/>
    <mergeCell ref="C33:D33"/>
    <mergeCell ref="E27:F27"/>
    <mergeCell ref="E28:F28"/>
    <mergeCell ref="E29:F29"/>
    <mergeCell ref="C27:D27"/>
    <mergeCell ref="C28:D28"/>
    <mergeCell ref="C29:D29"/>
    <mergeCell ref="C30:D30"/>
    <mergeCell ref="C31:D31"/>
    <mergeCell ref="C32:D32"/>
    <mergeCell ref="E30:F30"/>
    <mergeCell ref="E31:F31"/>
    <mergeCell ref="E32:F32"/>
    <mergeCell ref="E33:F33"/>
    <mergeCell ref="C47:D47"/>
    <mergeCell ref="E47:F47"/>
    <mergeCell ref="C48:D48"/>
    <mergeCell ref="E48:F48"/>
    <mergeCell ref="E34:F34"/>
    <mergeCell ref="E35:F35"/>
    <mergeCell ref="E36:F36"/>
    <mergeCell ref="E46:F46"/>
    <mergeCell ref="C41:D41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4814-0482-4FFF-A4E5-7232FC052FE1}">
  <dimension ref="A1:Z207"/>
  <sheetViews>
    <sheetView topLeftCell="B217" zoomScale="70" zoomScaleNormal="70" workbookViewId="0">
      <selection activeCell="C69" sqref="C69:D69"/>
    </sheetView>
  </sheetViews>
  <sheetFormatPr defaultRowHeight="16.5" x14ac:dyDescent="0.35"/>
  <cols>
    <col min="1" max="1" width="15.6328125" style="1" customWidth="1"/>
    <col min="2" max="2" width="19.7265625" style="1" customWidth="1"/>
    <col min="3" max="3" width="50.6328125" style="1" customWidth="1"/>
    <col min="4" max="5" width="10.7265625" style="1" customWidth="1"/>
    <col min="6" max="6" width="17.90625" style="1" customWidth="1"/>
    <col min="7" max="40" width="5.6328125" style="1" customWidth="1"/>
    <col min="41" max="16384" width="8.7265625" style="1"/>
  </cols>
  <sheetData>
    <row r="1" spans="1:26" ht="33" x14ac:dyDescent="0.35">
      <c r="A1" s="33" t="s">
        <v>3</v>
      </c>
      <c r="B1" s="33"/>
      <c r="C1" s="16" t="s">
        <v>281</v>
      </c>
      <c r="E1" s="5"/>
      <c r="F1" s="13" t="s">
        <v>280</v>
      </c>
    </row>
    <row r="2" spans="1:26" ht="16" customHeight="1" x14ac:dyDescent="0.35">
      <c r="A2" s="34" t="s">
        <v>2</v>
      </c>
      <c r="B2" s="34"/>
      <c r="C2" s="4" t="s">
        <v>216</v>
      </c>
      <c r="E2" s="7"/>
      <c r="F2" s="14" t="s">
        <v>21</v>
      </c>
    </row>
    <row r="3" spans="1:26" ht="16" customHeight="1" x14ac:dyDescent="0.35">
      <c r="A3" s="34" t="s">
        <v>1</v>
      </c>
      <c r="B3" s="34"/>
      <c r="C3" s="17">
        <v>46299</v>
      </c>
      <c r="E3" s="6"/>
      <c r="F3" s="15" t="s">
        <v>20</v>
      </c>
    </row>
    <row r="4" spans="1:26" ht="16" customHeight="1" x14ac:dyDescent="0.35">
      <c r="A4" s="34" t="s">
        <v>0</v>
      </c>
      <c r="B4" s="34"/>
      <c r="C4" s="17" t="s">
        <v>217</v>
      </c>
    </row>
    <row r="5" spans="1:26" ht="16" customHeight="1" x14ac:dyDescent="0.35"/>
    <row r="6" spans="1:26" ht="16" customHeight="1" x14ac:dyDescent="0.35"/>
    <row r="7" spans="1:26" ht="14.5" customHeight="1" x14ac:dyDescent="0.35">
      <c r="E7" s="9"/>
      <c r="F7" s="10"/>
    </row>
    <row r="8" spans="1:26" ht="16.5" customHeight="1" x14ac:dyDescent="0.35">
      <c r="B8" s="35" t="s">
        <v>5</v>
      </c>
      <c r="C8" s="35"/>
      <c r="D8" s="35"/>
      <c r="E8" s="35"/>
      <c r="F8" s="11"/>
    </row>
    <row r="9" spans="1:26" ht="16.5" customHeight="1" x14ac:dyDescent="0.35">
      <c r="B9" s="19" t="s">
        <v>6</v>
      </c>
      <c r="C9" s="19" t="s">
        <v>19</v>
      </c>
      <c r="D9" s="19" t="s">
        <v>11</v>
      </c>
      <c r="E9" s="19" t="s">
        <v>18</v>
      </c>
      <c r="F9" s="11"/>
    </row>
    <row r="10" spans="1:26" ht="16.5" customHeight="1" x14ac:dyDescent="0.35">
      <c r="B10" s="8">
        <v>1</v>
      </c>
      <c r="C10" s="4" t="s">
        <v>22</v>
      </c>
      <c r="D10" s="4">
        <f ca="1">ROUND(SUMIF($E$108:$F$205,"H.Thắng",$G$108:$G$205)+SUMIF($E$108:$F$205,"All team",$G$108:$G$205)/5,1)</f>
        <v>140</v>
      </c>
      <c r="E10" s="23">
        <f ca="1">ROUND(SUMIF($E$18:$F$102,"H.Thắng",$H$18:$H$102)+SUMIF($E$18:$F$102,"All team",$H$18:$H$102)/5,1)</f>
        <v>135</v>
      </c>
      <c r="F10" s="11"/>
    </row>
    <row r="11" spans="1:26" ht="16.5" customHeight="1" x14ac:dyDescent="0.35">
      <c r="B11" s="8">
        <v>2</v>
      </c>
      <c r="C11" s="20" t="s">
        <v>151</v>
      </c>
      <c r="D11" s="4">
        <f ca="1">ROUND(SUMIF($E$108:$F$205,"Q.Thắng",$G$108:$G$205)+SUMIF($E$108:$F$205,"All team",$G$108:$G$205)/5,1)</f>
        <v>54</v>
      </c>
      <c r="E11" s="23">
        <f ca="1">ROUND(SUMIF($E$18:$F$102,"Q.Thắng",$H$18:$H$102)+SUMIF($E$18:$F$102,"All team",$H$18:$H$102)/5,1)</f>
        <v>58</v>
      </c>
      <c r="F11" s="12"/>
    </row>
    <row r="12" spans="1:26" x14ac:dyDescent="0.35">
      <c r="B12" s="8">
        <v>3</v>
      </c>
      <c r="C12" s="20" t="s">
        <v>152</v>
      </c>
      <c r="D12" s="4">
        <f ca="1">ROUND(SUMIF($E$108:$F$205,"Nhung",$G$108:$G$205)+SUMIF($E$108:$F$205,"All team",$G$108:$G$205)/5,1)</f>
        <v>49</v>
      </c>
      <c r="E12" s="23">
        <f ca="1">ROUND(SUMIF($E$18:$F$102,"Nhung",$H$18:$H$102)+SUMIF($E$18:$F$102,"All team",$H$18:$H$102)/5,1)</f>
        <v>51</v>
      </c>
    </row>
    <row r="13" spans="1:26" x14ac:dyDescent="0.35">
      <c r="B13" s="22">
        <v>4</v>
      </c>
      <c r="C13" s="20" t="s">
        <v>153</v>
      </c>
      <c r="D13" s="4">
        <f ca="1">ROUND(SUMIF($E$108:$F$205,"Nam",$G$108:$G$205)+SUMIF($E$108:$F$205,"All team",$G$108:$G$205)/5,1)</f>
        <v>47</v>
      </c>
      <c r="E13" s="23">
        <f ca="1">ROUND(SUMIF($E$18:$F$102,"Nam",$H$18:$H$102)+SUMIF($E$18:$F$102,"All team",$H$18:$H$102)/5,1)</f>
        <v>50</v>
      </c>
    </row>
    <row r="14" spans="1:26" x14ac:dyDescent="0.35">
      <c r="B14" s="8">
        <v>5</v>
      </c>
      <c r="C14" s="20" t="s">
        <v>154</v>
      </c>
      <c r="D14" s="4">
        <f ca="1">ROUND(SUMIF($E$108:$F$205,"Thúy",$G$108:$G$205)+SUMIF($E$108:$F$205,"All team",$G$108:$G$205)/5,1)</f>
        <v>61</v>
      </c>
      <c r="E14" s="23">
        <f ca="1">ROUND(SUMIF($E$18:$F$102,"Thúy",$H$18:$H$102)+SUMIF($E$18:$F$102,"All team",$H$18:$H$102)/5,1)</f>
        <v>66</v>
      </c>
    </row>
    <row r="15" spans="1:26" x14ac:dyDescent="0.35">
      <c r="B15" s="36" t="s">
        <v>23</v>
      </c>
      <c r="C15" s="36"/>
      <c r="D15" s="25">
        <f ca="1">SUM(D10:D14)</f>
        <v>351</v>
      </c>
      <c r="E15" s="24">
        <f ca="1">SUM(E10:E14)</f>
        <v>360</v>
      </c>
    </row>
    <row r="16" spans="1:26" ht="30" customHeight="1" x14ac:dyDescent="0.5">
      <c r="A16" s="44" t="s">
        <v>88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55" customHeight="1" x14ac:dyDescent="0.35">
      <c r="A17" s="21" t="s">
        <v>7</v>
      </c>
      <c r="B17" s="21" t="s">
        <v>8</v>
      </c>
      <c r="C17" s="32" t="s">
        <v>9</v>
      </c>
      <c r="D17" s="32"/>
      <c r="E17" s="32" t="s">
        <v>10</v>
      </c>
      <c r="F17" s="32"/>
      <c r="G17" s="2" t="s">
        <v>11</v>
      </c>
      <c r="H17" s="2" t="s">
        <v>18</v>
      </c>
      <c r="I17" s="3">
        <v>46122</v>
      </c>
      <c r="J17" s="3">
        <v>46123</v>
      </c>
      <c r="K17" s="3">
        <v>46124</v>
      </c>
      <c r="L17" s="3">
        <v>46125</v>
      </c>
      <c r="M17" s="3">
        <v>46126</v>
      </c>
      <c r="N17" s="3">
        <v>46127</v>
      </c>
      <c r="O17" s="3">
        <v>46128</v>
      </c>
      <c r="P17" s="3">
        <v>46129</v>
      </c>
      <c r="Q17" s="3">
        <v>46130</v>
      </c>
      <c r="R17" s="3">
        <v>46131</v>
      </c>
      <c r="S17" s="3">
        <v>46132</v>
      </c>
      <c r="T17" s="3">
        <v>46133</v>
      </c>
      <c r="U17" s="3">
        <v>46134</v>
      </c>
      <c r="V17" s="3">
        <v>46135</v>
      </c>
      <c r="W17" s="3">
        <v>46136</v>
      </c>
      <c r="X17" s="3">
        <v>46137</v>
      </c>
      <c r="Y17" s="3">
        <v>46138</v>
      </c>
      <c r="Z17" s="3">
        <v>46139</v>
      </c>
    </row>
    <row r="18" spans="1:26" x14ac:dyDescent="0.35">
      <c r="A18" s="37" t="s">
        <v>216</v>
      </c>
      <c r="B18" s="37" t="s">
        <v>156</v>
      </c>
      <c r="C18" s="51" t="s">
        <v>91</v>
      </c>
      <c r="D18" s="52"/>
      <c r="E18" s="30" t="s">
        <v>17</v>
      </c>
      <c r="F18" s="31"/>
      <c r="G18" s="4">
        <v>4</v>
      </c>
      <c r="H18" s="4">
        <v>4</v>
      </c>
      <c r="I18" s="5">
        <v>0</v>
      </c>
      <c r="J18" s="18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</row>
    <row r="19" spans="1:26" x14ac:dyDescent="0.35">
      <c r="A19" s="27"/>
      <c r="B19" s="27"/>
      <c r="C19" s="53" t="s">
        <v>157</v>
      </c>
      <c r="D19" s="53"/>
      <c r="E19" s="30" t="s">
        <v>94</v>
      </c>
      <c r="F19" s="31"/>
      <c r="G19" s="4">
        <v>4</v>
      </c>
      <c r="H19" s="4">
        <v>4</v>
      </c>
      <c r="I19" s="5">
        <v>0</v>
      </c>
      <c r="J19" s="18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</row>
    <row r="20" spans="1:26" x14ac:dyDescent="0.35">
      <c r="A20" s="38"/>
      <c r="B20" s="39"/>
      <c r="C20" s="54" t="s">
        <v>158</v>
      </c>
      <c r="D20" s="55"/>
      <c r="E20" s="30" t="s">
        <v>96</v>
      </c>
      <c r="F20" s="31"/>
      <c r="G20" s="4">
        <v>4</v>
      </c>
      <c r="H20" s="4">
        <v>4</v>
      </c>
      <c r="I20" s="5">
        <v>0</v>
      </c>
      <c r="J20" s="18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</row>
    <row r="21" spans="1:26" x14ac:dyDescent="0.35">
      <c r="A21" s="38"/>
      <c r="B21" s="27" t="s">
        <v>13</v>
      </c>
      <c r="C21" s="28" t="s">
        <v>29</v>
      </c>
      <c r="D21" s="29"/>
      <c r="E21" s="30" t="s">
        <v>96</v>
      </c>
      <c r="F21" s="31"/>
      <c r="G21" s="4">
        <v>4</v>
      </c>
      <c r="H21" s="4">
        <v>4</v>
      </c>
      <c r="I21" s="4">
        <v>4</v>
      </c>
      <c r="J21" s="5">
        <v>0</v>
      </c>
      <c r="K21" s="18">
        <v>0</v>
      </c>
      <c r="L21" s="18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</row>
    <row r="22" spans="1:26" x14ac:dyDescent="0.35">
      <c r="A22" s="38"/>
      <c r="B22" s="27"/>
      <c r="C22" s="28" t="s">
        <v>159</v>
      </c>
      <c r="D22" s="29"/>
      <c r="E22" s="30" t="s">
        <v>95</v>
      </c>
      <c r="F22" s="31"/>
      <c r="G22" s="4">
        <v>4</v>
      </c>
      <c r="H22" s="4">
        <v>4</v>
      </c>
      <c r="I22" s="4">
        <v>4</v>
      </c>
      <c r="J22" s="4">
        <v>4</v>
      </c>
      <c r="K22" s="5">
        <v>0</v>
      </c>
      <c r="L22" s="18">
        <v>0</v>
      </c>
      <c r="M22" s="18">
        <v>0</v>
      </c>
      <c r="N22" s="18">
        <v>0</v>
      </c>
      <c r="O22" s="18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</row>
    <row r="23" spans="1:26" x14ac:dyDescent="0.35">
      <c r="A23" s="38"/>
      <c r="B23" s="27"/>
      <c r="C23" s="28" t="s">
        <v>160</v>
      </c>
      <c r="D23" s="29"/>
      <c r="E23" s="30" t="s">
        <v>96</v>
      </c>
      <c r="F23" s="31"/>
      <c r="G23" s="4">
        <v>4</v>
      </c>
      <c r="H23" s="4">
        <v>4</v>
      </c>
      <c r="I23" s="4">
        <v>4</v>
      </c>
      <c r="J23" s="4">
        <v>4</v>
      </c>
      <c r="K23" s="4">
        <v>4</v>
      </c>
      <c r="L23" s="5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</row>
    <row r="24" spans="1:26" x14ac:dyDescent="0.35">
      <c r="A24" s="38"/>
      <c r="B24" s="27"/>
      <c r="C24" s="28" t="s">
        <v>27</v>
      </c>
      <c r="D24" s="29"/>
      <c r="E24" s="30" t="s">
        <v>95</v>
      </c>
      <c r="F24" s="31"/>
      <c r="G24" s="4">
        <v>4</v>
      </c>
      <c r="H24" s="4">
        <v>4</v>
      </c>
      <c r="I24" s="4">
        <v>4</v>
      </c>
      <c r="J24" s="4">
        <v>4</v>
      </c>
      <c r="K24" s="4">
        <v>4</v>
      </c>
      <c r="L24" s="4">
        <v>4</v>
      </c>
      <c r="M24" s="5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</row>
    <row r="25" spans="1:26" x14ac:dyDescent="0.35">
      <c r="A25" s="38"/>
      <c r="B25" s="27"/>
      <c r="C25" s="28" t="s">
        <v>28</v>
      </c>
      <c r="D25" s="29"/>
      <c r="E25" s="30" t="s">
        <v>96</v>
      </c>
      <c r="F25" s="31"/>
      <c r="G25" s="4">
        <v>3</v>
      </c>
      <c r="H25" s="4">
        <v>3</v>
      </c>
      <c r="I25" s="4">
        <v>3</v>
      </c>
      <c r="J25" s="4">
        <v>3</v>
      </c>
      <c r="K25" s="4">
        <v>3</v>
      </c>
      <c r="L25" s="4">
        <v>3</v>
      </c>
      <c r="M25" s="4">
        <v>3</v>
      </c>
      <c r="N25" s="5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</row>
    <row r="26" spans="1:26" x14ac:dyDescent="0.35">
      <c r="A26" s="38"/>
      <c r="B26" s="27"/>
      <c r="C26" s="28" t="s">
        <v>161</v>
      </c>
      <c r="D26" s="29"/>
      <c r="E26" s="30" t="s">
        <v>95</v>
      </c>
      <c r="F26" s="31"/>
      <c r="G26" s="4">
        <v>4</v>
      </c>
      <c r="H26" s="4">
        <v>4</v>
      </c>
      <c r="I26" s="4">
        <v>4</v>
      </c>
      <c r="J26" s="4">
        <v>4</v>
      </c>
      <c r="K26" s="4">
        <v>4</v>
      </c>
      <c r="L26" s="4">
        <v>4</v>
      </c>
      <c r="M26" s="4">
        <v>4</v>
      </c>
      <c r="N26" s="4">
        <v>4</v>
      </c>
      <c r="O26" s="5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</row>
    <row r="27" spans="1:26" x14ac:dyDescent="0.35">
      <c r="A27" s="38"/>
      <c r="B27" s="27"/>
      <c r="C27" s="28" t="s">
        <v>162</v>
      </c>
      <c r="D27" s="29"/>
      <c r="E27" s="30" t="s">
        <v>96</v>
      </c>
      <c r="F27" s="31"/>
      <c r="G27" s="4">
        <v>5</v>
      </c>
      <c r="H27" s="4">
        <v>5</v>
      </c>
      <c r="I27" s="4">
        <v>5</v>
      </c>
      <c r="J27" s="4">
        <v>5</v>
      </c>
      <c r="K27" s="4">
        <v>5</v>
      </c>
      <c r="L27" s="4">
        <v>5</v>
      </c>
      <c r="M27" s="4">
        <v>5</v>
      </c>
      <c r="N27" s="4">
        <v>5</v>
      </c>
      <c r="O27" s="4">
        <v>5</v>
      </c>
      <c r="P27" s="4">
        <v>5</v>
      </c>
      <c r="Q27" s="5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</row>
    <row r="28" spans="1:26" x14ac:dyDescent="0.35">
      <c r="A28" s="38"/>
      <c r="B28" s="27"/>
      <c r="C28" s="28" t="s">
        <v>32</v>
      </c>
      <c r="D28" s="29"/>
      <c r="E28" s="30" t="s">
        <v>95</v>
      </c>
      <c r="F28" s="31"/>
      <c r="G28" s="4">
        <v>4</v>
      </c>
      <c r="H28" s="4">
        <v>4</v>
      </c>
      <c r="I28" s="4">
        <v>4</v>
      </c>
      <c r="J28" s="4">
        <v>4</v>
      </c>
      <c r="K28" s="4">
        <v>4</v>
      </c>
      <c r="L28" s="4">
        <v>4</v>
      </c>
      <c r="M28" s="4">
        <v>4</v>
      </c>
      <c r="N28" s="4">
        <v>4</v>
      </c>
      <c r="O28" s="4">
        <v>4</v>
      </c>
      <c r="P28" s="4">
        <v>4</v>
      </c>
      <c r="Q28" s="4">
        <v>4</v>
      </c>
      <c r="R28" s="4">
        <v>4</v>
      </c>
      <c r="S28" s="5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</row>
    <row r="29" spans="1:26" x14ac:dyDescent="0.35">
      <c r="A29" s="38"/>
      <c r="B29" s="27"/>
      <c r="C29" s="28" t="s">
        <v>33</v>
      </c>
      <c r="D29" s="29"/>
      <c r="E29" s="30" t="s">
        <v>96</v>
      </c>
      <c r="F29" s="31"/>
      <c r="G29" s="4">
        <v>5</v>
      </c>
      <c r="H29" s="4">
        <v>5</v>
      </c>
      <c r="I29" s="4">
        <v>5</v>
      </c>
      <c r="J29" s="4">
        <v>5</v>
      </c>
      <c r="K29" s="4">
        <v>5</v>
      </c>
      <c r="L29" s="4">
        <v>5</v>
      </c>
      <c r="M29" s="4">
        <v>5</v>
      </c>
      <c r="N29" s="4">
        <v>5</v>
      </c>
      <c r="O29" s="4">
        <v>5</v>
      </c>
      <c r="P29" s="4">
        <v>5</v>
      </c>
      <c r="Q29" s="4">
        <v>5</v>
      </c>
      <c r="R29" s="4">
        <v>5</v>
      </c>
      <c r="S29" s="4">
        <v>5</v>
      </c>
      <c r="T29" s="4">
        <v>5</v>
      </c>
      <c r="U29" s="5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</row>
    <row r="30" spans="1:26" x14ac:dyDescent="0.35">
      <c r="A30" s="38"/>
      <c r="B30" s="27"/>
      <c r="C30" s="28" t="s">
        <v>163</v>
      </c>
      <c r="D30" s="29"/>
      <c r="E30" s="30" t="s">
        <v>95</v>
      </c>
      <c r="F30" s="31"/>
      <c r="G30" s="4">
        <v>3</v>
      </c>
      <c r="H30" s="4">
        <v>3</v>
      </c>
      <c r="I30" s="4">
        <v>3</v>
      </c>
      <c r="J30" s="4">
        <v>3</v>
      </c>
      <c r="K30" s="4">
        <v>3</v>
      </c>
      <c r="L30" s="4">
        <v>3</v>
      </c>
      <c r="M30" s="4">
        <v>3</v>
      </c>
      <c r="N30" s="4">
        <v>3</v>
      </c>
      <c r="O30" s="4">
        <v>3</v>
      </c>
      <c r="P30" s="4">
        <v>3</v>
      </c>
      <c r="Q30" s="4">
        <v>3</v>
      </c>
      <c r="R30" s="4">
        <v>3</v>
      </c>
      <c r="S30" s="4">
        <v>3</v>
      </c>
      <c r="T30" s="4">
        <v>3</v>
      </c>
      <c r="U30" s="4">
        <v>3</v>
      </c>
      <c r="V30" s="4">
        <v>3</v>
      </c>
      <c r="W30" s="5">
        <v>0</v>
      </c>
      <c r="X30" s="4">
        <v>0</v>
      </c>
      <c r="Y30" s="4">
        <v>0</v>
      </c>
      <c r="Z30" s="4">
        <v>0</v>
      </c>
    </row>
    <row r="31" spans="1:26" x14ac:dyDescent="0.35">
      <c r="A31" s="38"/>
      <c r="B31" s="37"/>
      <c r="C31" s="51" t="s">
        <v>164</v>
      </c>
      <c r="D31" s="52"/>
      <c r="E31" s="30" t="s">
        <v>96</v>
      </c>
      <c r="F31" s="31"/>
      <c r="G31" s="4">
        <v>3</v>
      </c>
      <c r="H31" s="4">
        <v>3</v>
      </c>
      <c r="I31" s="4">
        <v>3</v>
      </c>
      <c r="J31" s="4">
        <v>3</v>
      </c>
      <c r="K31" s="4">
        <v>3</v>
      </c>
      <c r="L31" s="4">
        <v>3</v>
      </c>
      <c r="M31" s="4">
        <v>3</v>
      </c>
      <c r="N31" s="4">
        <v>3</v>
      </c>
      <c r="O31" s="4">
        <v>3</v>
      </c>
      <c r="P31" s="4">
        <v>3</v>
      </c>
      <c r="Q31" s="4">
        <v>3</v>
      </c>
      <c r="R31" s="4">
        <v>3</v>
      </c>
      <c r="S31" s="4">
        <v>3</v>
      </c>
      <c r="T31" s="4">
        <v>3</v>
      </c>
      <c r="U31" s="4">
        <v>3</v>
      </c>
      <c r="V31" s="4">
        <v>3</v>
      </c>
      <c r="W31" s="4">
        <v>3</v>
      </c>
      <c r="X31" s="5">
        <v>0</v>
      </c>
      <c r="Y31" s="4">
        <v>0</v>
      </c>
      <c r="Z31" s="4">
        <v>0</v>
      </c>
    </row>
    <row r="32" spans="1:26" x14ac:dyDescent="0.35">
      <c r="A32" s="27"/>
      <c r="B32" s="27" t="s">
        <v>14</v>
      </c>
      <c r="C32" s="53" t="s">
        <v>78</v>
      </c>
      <c r="D32" s="53"/>
      <c r="E32" s="30" t="s">
        <v>94</v>
      </c>
      <c r="F32" s="31"/>
      <c r="G32" s="4">
        <v>8</v>
      </c>
      <c r="H32" s="4">
        <v>8</v>
      </c>
      <c r="I32" s="4">
        <v>8</v>
      </c>
      <c r="J32" s="5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</row>
    <row r="33" spans="1:26" x14ac:dyDescent="0.35">
      <c r="A33" s="38"/>
      <c r="B33" s="38"/>
      <c r="C33" s="56" t="s">
        <v>165</v>
      </c>
      <c r="D33" s="57"/>
      <c r="E33" s="30" t="s">
        <v>103</v>
      </c>
      <c r="F33" s="31"/>
      <c r="G33" s="4">
        <v>7</v>
      </c>
      <c r="H33" s="4">
        <v>7</v>
      </c>
      <c r="I33" s="4">
        <v>7</v>
      </c>
      <c r="J33" s="4">
        <v>7</v>
      </c>
      <c r="K33" s="5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</row>
    <row r="34" spans="1:26" x14ac:dyDescent="0.35">
      <c r="A34" s="27"/>
      <c r="B34" s="27"/>
      <c r="C34" s="53" t="s">
        <v>166</v>
      </c>
      <c r="D34" s="53"/>
      <c r="E34" s="30" t="s">
        <v>94</v>
      </c>
      <c r="F34" s="31"/>
      <c r="G34" s="4">
        <v>8</v>
      </c>
      <c r="H34" s="4">
        <v>8</v>
      </c>
      <c r="I34" s="4">
        <v>8</v>
      </c>
      <c r="J34" s="4">
        <v>8</v>
      </c>
      <c r="K34" s="5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</row>
    <row r="35" spans="1:26" x14ac:dyDescent="0.35">
      <c r="A35" s="38"/>
      <c r="B35" s="38"/>
      <c r="C35" s="56" t="s">
        <v>167</v>
      </c>
      <c r="D35" s="57"/>
      <c r="E35" s="30" t="s">
        <v>104</v>
      </c>
      <c r="F35" s="31"/>
      <c r="G35" s="4">
        <v>7</v>
      </c>
      <c r="H35" s="4">
        <v>7</v>
      </c>
      <c r="I35" s="4">
        <v>7</v>
      </c>
      <c r="J35" s="4">
        <v>7</v>
      </c>
      <c r="K35" s="4">
        <v>7</v>
      </c>
      <c r="L35" s="5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</row>
    <row r="36" spans="1:26" x14ac:dyDescent="0.35">
      <c r="A36" s="27"/>
      <c r="B36" s="27"/>
      <c r="C36" s="53" t="s">
        <v>168</v>
      </c>
      <c r="D36" s="53"/>
      <c r="E36" s="30" t="s">
        <v>94</v>
      </c>
      <c r="F36" s="31"/>
      <c r="G36" s="4">
        <v>7</v>
      </c>
      <c r="H36" s="4">
        <v>7</v>
      </c>
      <c r="I36" s="4">
        <v>7</v>
      </c>
      <c r="J36" s="4">
        <v>7</v>
      </c>
      <c r="K36" s="4">
        <v>7</v>
      </c>
      <c r="L36" s="5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</row>
    <row r="37" spans="1:26" x14ac:dyDescent="0.35">
      <c r="A37" s="38"/>
      <c r="B37" s="38"/>
      <c r="C37" s="56" t="s">
        <v>169</v>
      </c>
      <c r="D37" s="57"/>
      <c r="E37" s="30" t="s">
        <v>103</v>
      </c>
      <c r="F37" s="31"/>
      <c r="G37" s="4">
        <v>7</v>
      </c>
      <c r="H37" s="4">
        <v>7</v>
      </c>
      <c r="I37" s="4">
        <v>7</v>
      </c>
      <c r="J37" s="4">
        <v>7</v>
      </c>
      <c r="K37" s="4">
        <v>7</v>
      </c>
      <c r="L37" s="5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</row>
    <row r="38" spans="1:26" x14ac:dyDescent="0.35">
      <c r="A38" s="27"/>
      <c r="B38" s="27"/>
      <c r="C38" s="53" t="s">
        <v>76</v>
      </c>
      <c r="D38" s="53"/>
      <c r="E38" s="30" t="s">
        <v>94</v>
      </c>
      <c r="F38" s="31"/>
      <c r="G38" s="4">
        <v>8</v>
      </c>
      <c r="H38" s="4">
        <v>8</v>
      </c>
      <c r="I38" s="4">
        <v>8</v>
      </c>
      <c r="J38" s="4">
        <v>8</v>
      </c>
      <c r="K38" s="4">
        <v>8</v>
      </c>
      <c r="L38" s="4">
        <v>8</v>
      </c>
      <c r="M38" s="4">
        <v>2</v>
      </c>
      <c r="N38" s="5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</row>
    <row r="39" spans="1:26" x14ac:dyDescent="0.35">
      <c r="A39" s="38"/>
      <c r="B39" s="38"/>
      <c r="C39" s="56" t="s">
        <v>170</v>
      </c>
      <c r="D39" s="57"/>
      <c r="E39" s="30" t="s">
        <v>104</v>
      </c>
      <c r="F39" s="31"/>
      <c r="G39" s="4">
        <v>7</v>
      </c>
      <c r="H39" s="4">
        <v>7</v>
      </c>
      <c r="I39" s="4">
        <v>7</v>
      </c>
      <c r="J39" s="4">
        <v>7</v>
      </c>
      <c r="K39" s="4">
        <v>7</v>
      </c>
      <c r="L39" s="4">
        <v>7</v>
      </c>
      <c r="M39" s="4">
        <v>7</v>
      </c>
      <c r="N39" s="4">
        <v>1</v>
      </c>
      <c r="O39" s="5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</row>
    <row r="40" spans="1:26" x14ac:dyDescent="0.35">
      <c r="A40" s="27"/>
      <c r="B40" s="27"/>
      <c r="C40" s="53" t="s">
        <v>77</v>
      </c>
      <c r="D40" s="53"/>
      <c r="E40" s="30" t="s">
        <v>94</v>
      </c>
      <c r="F40" s="31"/>
      <c r="G40" s="4">
        <v>5</v>
      </c>
      <c r="H40" s="4">
        <v>5</v>
      </c>
      <c r="I40" s="4">
        <v>5</v>
      </c>
      <c r="J40" s="4">
        <v>5</v>
      </c>
      <c r="K40" s="4">
        <v>5</v>
      </c>
      <c r="L40" s="4">
        <v>5</v>
      </c>
      <c r="M40" s="4">
        <v>5</v>
      </c>
      <c r="N40" s="4">
        <v>1</v>
      </c>
      <c r="O40" s="5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</row>
    <row r="41" spans="1:26" x14ac:dyDescent="0.35">
      <c r="A41" s="38"/>
      <c r="B41" s="38"/>
      <c r="C41" s="56" t="s">
        <v>171</v>
      </c>
      <c r="D41" s="57"/>
      <c r="E41" s="30" t="s">
        <v>103</v>
      </c>
      <c r="F41" s="31"/>
      <c r="G41" s="4">
        <v>5</v>
      </c>
      <c r="H41" s="4">
        <v>5</v>
      </c>
      <c r="I41" s="4">
        <v>5</v>
      </c>
      <c r="J41" s="4">
        <v>5</v>
      </c>
      <c r="K41" s="4">
        <v>5</v>
      </c>
      <c r="L41" s="4">
        <v>5</v>
      </c>
      <c r="M41" s="4">
        <v>5</v>
      </c>
      <c r="N41" s="5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</row>
    <row r="42" spans="1:26" x14ac:dyDescent="0.35">
      <c r="A42" s="27"/>
      <c r="B42" s="27"/>
      <c r="C42" s="53" t="s">
        <v>172</v>
      </c>
      <c r="D42" s="53"/>
      <c r="E42" s="30" t="s">
        <v>94</v>
      </c>
      <c r="F42" s="31"/>
      <c r="G42" s="4">
        <v>9</v>
      </c>
      <c r="H42" s="4">
        <v>9</v>
      </c>
      <c r="I42" s="4">
        <v>9</v>
      </c>
      <c r="J42" s="4">
        <v>9</v>
      </c>
      <c r="K42" s="4">
        <v>9</v>
      </c>
      <c r="L42" s="4">
        <v>9</v>
      </c>
      <c r="M42" s="4">
        <v>9</v>
      </c>
      <c r="N42" s="4">
        <v>9</v>
      </c>
      <c r="O42" s="4">
        <v>4</v>
      </c>
      <c r="P42" s="5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</row>
    <row r="43" spans="1:26" x14ac:dyDescent="0.35">
      <c r="A43" s="38"/>
      <c r="B43" s="38"/>
      <c r="C43" s="56" t="s">
        <v>173</v>
      </c>
      <c r="D43" s="57"/>
      <c r="E43" s="30" t="s">
        <v>104</v>
      </c>
      <c r="F43" s="31"/>
      <c r="G43" s="4">
        <v>7</v>
      </c>
      <c r="H43" s="4">
        <v>7</v>
      </c>
      <c r="I43" s="4">
        <v>7</v>
      </c>
      <c r="J43" s="4">
        <v>7</v>
      </c>
      <c r="K43" s="4">
        <v>7</v>
      </c>
      <c r="L43" s="4">
        <v>7</v>
      </c>
      <c r="M43" s="4">
        <v>7</v>
      </c>
      <c r="N43" s="4">
        <v>7</v>
      </c>
      <c r="O43" s="4">
        <v>7</v>
      </c>
      <c r="P43" s="4">
        <v>1</v>
      </c>
      <c r="Q43" s="5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</row>
    <row r="44" spans="1:26" x14ac:dyDescent="0.35">
      <c r="A44" s="27"/>
      <c r="B44" s="27"/>
      <c r="C44" s="53" t="s">
        <v>174</v>
      </c>
      <c r="D44" s="53"/>
      <c r="E44" s="30" t="s">
        <v>94</v>
      </c>
      <c r="F44" s="31"/>
      <c r="G44" s="4">
        <v>18</v>
      </c>
      <c r="H44" s="4">
        <v>18</v>
      </c>
      <c r="I44" s="4">
        <v>18</v>
      </c>
      <c r="J44" s="4">
        <v>18</v>
      </c>
      <c r="K44" s="4">
        <v>18</v>
      </c>
      <c r="L44" s="4">
        <v>18</v>
      </c>
      <c r="M44" s="4">
        <v>18</v>
      </c>
      <c r="N44" s="4">
        <v>18</v>
      </c>
      <c r="O44" s="4">
        <v>18</v>
      </c>
      <c r="P44" s="4">
        <v>18</v>
      </c>
      <c r="Q44" s="4">
        <v>9</v>
      </c>
      <c r="R44" s="4">
        <v>3</v>
      </c>
      <c r="S44" s="5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</row>
    <row r="45" spans="1:26" x14ac:dyDescent="0.35">
      <c r="A45" s="38"/>
      <c r="B45" s="38"/>
      <c r="C45" s="56" t="s">
        <v>175</v>
      </c>
      <c r="D45" s="57"/>
      <c r="E45" s="30" t="s">
        <v>103</v>
      </c>
      <c r="F45" s="31"/>
      <c r="G45" s="4">
        <v>8</v>
      </c>
      <c r="H45" s="4">
        <v>8</v>
      </c>
      <c r="I45" s="4">
        <v>8</v>
      </c>
      <c r="J45" s="4">
        <v>8</v>
      </c>
      <c r="K45" s="4">
        <v>8</v>
      </c>
      <c r="L45" s="4">
        <v>8</v>
      </c>
      <c r="M45" s="4">
        <v>8</v>
      </c>
      <c r="N45" s="4">
        <v>8</v>
      </c>
      <c r="O45" s="4">
        <v>8</v>
      </c>
      <c r="P45" s="4">
        <v>8</v>
      </c>
      <c r="Q45" s="5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</row>
    <row r="46" spans="1:26" x14ac:dyDescent="0.35">
      <c r="A46" s="27"/>
      <c r="B46" s="27"/>
      <c r="C46" s="53" t="s">
        <v>81</v>
      </c>
      <c r="D46" s="53"/>
      <c r="E46" s="30" t="s">
        <v>94</v>
      </c>
      <c r="F46" s="31"/>
      <c r="G46" s="4">
        <v>9</v>
      </c>
      <c r="H46" s="4">
        <v>9</v>
      </c>
      <c r="I46" s="4">
        <v>9</v>
      </c>
      <c r="J46" s="4">
        <v>9</v>
      </c>
      <c r="K46" s="4">
        <v>9</v>
      </c>
      <c r="L46" s="4">
        <v>9</v>
      </c>
      <c r="M46" s="4">
        <v>9</v>
      </c>
      <c r="N46" s="4">
        <v>9</v>
      </c>
      <c r="O46" s="4">
        <v>9</v>
      </c>
      <c r="P46" s="4">
        <v>9</v>
      </c>
      <c r="Q46" s="4">
        <v>9</v>
      </c>
      <c r="R46" s="4">
        <v>9</v>
      </c>
      <c r="S46" s="4">
        <v>3</v>
      </c>
      <c r="T46" s="5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</row>
    <row r="47" spans="1:26" x14ac:dyDescent="0.35">
      <c r="A47" s="38"/>
      <c r="B47" s="38"/>
      <c r="C47" s="56" t="s">
        <v>176</v>
      </c>
      <c r="D47" s="57"/>
      <c r="E47" s="30" t="s">
        <v>104</v>
      </c>
      <c r="F47" s="31"/>
      <c r="G47" s="4">
        <v>8</v>
      </c>
      <c r="H47" s="4">
        <v>8</v>
      </c>
      <c r="I47" s="4">
        <v>8</v>
      </c>
      <c r="J47" s="4">
        <v>8</v>
      </c>
      <c r="K47" s="4">
        <v>8</v>
      </c>
      <c r="L47" s="4">
        <v>8</v>
      </c>
      <c r="M47" s="4">
        <v>8</v>
      </c>
      <c r="N47" s="4">
        <v>8</v>
      </c>
      <c r="O47" s="4">
        <v>8</v>
      </c>
      <c r="P47" s="4">
        <v>8</v>
      </c>
      <c r="Q47" s="4">
        <v>8</v>
      </c>
      <c r="R47" s="4">
        <v>8</v>
      </c>
      <c r="S47" s="5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</row>
    <row r="48" spans="1:26" x14ac:dyDescent="0.35">
      <c r="A48" s="27"/>
      <c r="B48" s="27"/>
      <c r="C48" s="53" t="s">
        <v>82</v>
      </c>
      <c r="D48" s="53"/>
      <c r="E48" s="30" t="s">
        <v>94</v>
      </c>
      <c r="F48" s="31"/>
      <c r="G48" s="4">
        <v>10</v>
      </c>
      <c r="H48" s="4">
        <v>10</v>
      </c>
      <c r="I48" s="4">
        <v>10</v>
      </c>
      <c r="J48" s="4">
        <v>10</v>
      </c>
      <c r="K48" s="4">
        <v>10</v>
      </c>
      <c r="L48" s="4">
        <v>10</v>
      </c>
      <c r="M48" s="4">
        <v>10</v>
      </c>
      <c r="N48" s="4">
        <v>10</v>
      </c>
      <c r="O48" s="4">
        <v>10</v>
      </c>
      <c r="P48" s="4">
        <v>10</v>
      </c>
      <c r="Q48" s="4">
        <v>10</v>
      </c>
      <c r="R48" s="4">
        <v>10</v>
      </c>
      <c r="S48" s="4">
        <v>10</v>
      </c>
      <c r="T48" s="4">
        <v>10</v>
      </c>
      <c r="U48" s="4">
        <v>6</v>
      </c>
      <c r="V48" s="5">
        <v>0</v>
      </c>
      <c r="W48" s="4">
        <v>0</v>
      </c>
      <c r="X48" s="4">
        <v>0</v>
      </c>
      <c r="Y48" s="4">
        <v>0</v>
      </c>
      <c r="Z48" s="4">
        <v>0</v>
      </c>
    </row>
    <row r="49" spans="1:26" x14ac:dyDescent="0.35">
      <c r="A49" s="38"/>
      <c r="B49" s="38"/>
      <c r="C49" s="56" t="s">
        <v>177</v>
      </c>
      <c r="D49" s="57"/>
      <c r="E49" s="30" t="s">
        <v>103</v>
      </c>
      <c r="F49" s="31"/>
      <c r="G49" s="4">
        <v>8</v>
      </c>
      <c r="H49" s="4">
        <v>8</v>
      </c>
      <c r="I49" s="4">
        <v>8</v>
      </c>
      <c r="J49" s="4">
        <v>8</v>
      </c>
      <c r="K49" s="4">
        <v>8</v>
      </c>
      <c r="L49" s="4">
        <v>8</v>
      </c>
      <c r="M49" s="4">
        <v>8</v>
      </c>
      <c r="N49" s="4">
        <v>8</v>
      </c>
      <c r="O49" s="4">
        <v>8</v>
      </c>
      <c r="P49" s="4">
        <v>8</v>
      </c>
      <c r="Q49" s="4">
        <v>8</v>
      </c>
      <c r="R49" s="4">
        <v>8</v>
      </c>
      <c r="S49" s="4">
        <v>8</v>
      </c>
      <c r="T49" s="4">
        <v>8</v>
      </c>
      <c r="U49" s="4">
        <v>2</v>
      </c>
      <c r="V49" s="5">
        <v>0</v>
      </c>
      <c r="W49" s="4">
        <v>0</v>
      </c>
      <c r="X49" s="4">
        <v>0</v>
      </c>
      <c r="Y49" s="4">
        <v>0</v>
      </c>
      <c r="Z49" s="4">
        <v>0</v>
      </c>
    </row>
    <row r="50" spans="1:26" x14ac:dyDescent="0.35">
      <c r="A50" s="27"/>
      <c r="B50" s="27"/>
      <c r="C50" s="53" t="s">
        <v>178</v>
      </c>
      <c r="D50" s="53"/>
      <c r="E50" s="30" t="s">
        <v>94</v>
      </c>
      <c r="F50" s="31"/>
      <c r="G50" s="4">
        <v>6</v>
      </c>
      <c r="H50" s="4">
        <v>6</v>
      </c>
      <c r="I50" s="4">
        <v>6</v>
      </c>
      <c r="J50" s="4">
        <v>6</v>
      </c>
      <c r="K50" s="4">
        <v>6</v>
      </c>
      <c r="L50" s="4">
        <v>6</v>
      </c>
      <c r="M50" s="4">
        <v>6</v>
      </c>
      <c r="N50" s="4">
        <v>6</v>
      </c>
      <c r="O50" s="4">
        <v>6</v>
      </c>
      <c r="P50" s="4">
        <v>6</v>
      </c>
      <c r="Q50" s="4">
        <v>6</v>
      </c>
      <c r="R50" s="4">
        <v>6</v>
      </c>
      <c r="S50" s="4">
        <v>6</v>
      </c>
      <c r="T50" s="4">
        <v>6</v>
      </c>
      <c r="U50" s="4">
        <v>6</v>
      </c>
      <c r="V50" s="4">
        <v>6</v>
      </c>
      <c r="W50" s="5">
        <v>0</v>
      </c>
      <c r="X50" s="4">
        <v>0</v>
      </c>
      <c r="Y50" s="4">
        <v>0</v>
      </c>
      <c r="Z50" s="4">
        <v>0</v>
      </c>
    </row>
    <row r="51" spans="1:26" x14ac:dyDescent="0.35">
      <c r="A51" s="38"/>
      <c r="B51" s="38"/>
      <c r="C51" s="56" t="s">
        <v>179</v>
      </c>
      <c r="D51" s="57"/>
      <c r="E51" s="30" t="s">
        <v>104</v>
      </c>
      <c r="F51" s="31"/>
      <c r="G51" s="4">
        <v>5</v>
      </c>
      <c r="H51" s="4">
        <v>5</v>
      </c>
      <c r="I51" s="4">
        <v>5</v>
      </c>
      <c r="J51" s="4">
        <v>5</v>
      </c>
      <c r="K51" s="4">
        <v>5</v>
      </c>
      <c r="L51" s="4">
        <v>5</v>
      </c>
      <c r="M51" s="4">
        <v>5</v>
      </c>
      <c r="N51" s="4">
        <v>5</v>
      </c>
      <c r="O51" s="4">
        <v>5</v>
      </c>
      <c r="P51" s="4">
        <v>5</v>
      </c>
      <c r="Q51" s="4">
        <v>5</v>
      </c>
      <c r="R51" s="4">
        <v>5</v>
      </c>
      <c r="S51" s="4">
        <v>5</v>
      </c>
      <c r="T51" s="4">
        <v>5</v>
      </c>
      <c r="U51" s="4">
        <v>5</v>
      </c>
      <c r="V51" s="4">
        <v>5</v>
      </c>
      <c r="W51" s="5">
        <v>0</v>
      </c>
      <c r="X51" s="4">
        <v>0</v>
      </c>
      <c r="Y51" s="4">
        <v>0</v>
      </c>
      <c r="Z51" s="4">
        <v>0</v>
      </c>
    </row>
    <row r="52" spans="1:26" x14ac:dyDescent="0.35">
      <c r="A52" s="27"/>
      <c r="B52" s="27"/>
      <c r="C52" s="53" t="s">
        <v>180</v>
      </c>
      <c r="D52" s="53"/>
      <c r="E52" s="30" t="s">
        <v>94</v>
      </c>
      <c r="F52" s="31"/>
      <c r="G52" s="4">
        <v>6</v>
      </c>
      <c r="H52" s="4">
        <v>6</v>
      </c>
      <c r="I52" s="4">
        <v>6</v>
      </c>
      <c r="J52" s="4">
        <v>6</v>
      </c>
      <c r="K52" s="4">
        <v>6</v>
      </c>
      <c r="L52" s="4">
        <v>6</v>
      </c>
      <c r="M52" s="4">
        <v>6</v>
      </c>
      <c r="N52" s="4">
        <v>6</v>
      </c>
      <c r="O52" s="4">
        <v>6</v>
      </c>
      <c r="P52" s="4">
        <v>6</v>
      </c>
      <c r="Q52" s="4">
        <v>6</v>
      </c>
      <c r="R52" s="4">
        <v>6</v>
      </c>
      <c r="S52" s="4">
        <v>6</v>
      </c>
      <c r="T52" s="4">
        <v>6</v>
      </c>
      <c r="U52" s="4">
        <v>6</v>
      </c>
      <c r="V52" s="4">
        <v>6</v>
      </c>
      <c r="W52" s="4">
        <v>6</v>
      </c>
      <c r="X52" s="4">
        <v>1</v>
      </c>
      <c r="Y52" s="5">
        <v>0</v>
      </c>
      <c r="Z52" s="4">
        <v>0</v>
      </c>
    </row>
    <row r="53" spans="1:26" x14ac:dyDescent="0.35">
      <c r="A53" s="38"/>
      <c r="B53" s="39"/>
      <c r="C53" s="54" t="s">
        <v>181</v>
      </c>
      <c r="D53" s="55"/>
      <c r="E53" s="30" t="s">
        <v>103</v>
      </c>
      <c r="F53" s="31"/>
      <c r="G53" s="4">
        <v>5</v>
      </c>
      <c r="H53" s="4">
        <v>5</v>
      </c>
      <c r="I53" s="4">
        <v>5</v>
      </c>
      <c r="J53" s="4">
        <v>5</v>
      </c>
      <c r="K53" s="4">
        <v>5</v>
      </c>
      <c r="L53" s="4">
        <v>5</v>
      </c>
      <c r="M53" s="4">
        <v>5</v>
      </c>
      <c r="N53" s="4">
        <v>5</v>
      </c>
      <c r="O53" s="4">
        <v>5</v>
      </c>
      <c r="P53" s="4">
        <v>5</v>
      </c>
      <c r="Q53" s="4">
        <v>5</v>
      </c>
      <c r="R53" s="4">
        <v>5</v>
      </c>
      <c r="S53" s="4">
        <v>5</v>
      </c>
      <c r="T53" s="4">
        <v>5</v>
      </c>
      <c r="U53" s="4">
        <v>5</v>
      </c>
      <c r="V53" s="4">
        <v>5</v>
      </c>
      <c r="W53" s="4">
        <v>5</v>
      </c>
      <c r="X53" s="5">
        <v>0</v>
      </c>
      <c r="Y53" s="4">
        <v>0</v>
      </c>
      <c r="Z53" s="4">
        <v>0</v>
      </c>
    </row>
    <row r="54" spans="1:26" x14ac:dyDescent="0.35">
      <c r="A54" s="38"/>
      <c r="B54" s="27" t="s">
        <v>15</v>
      </c>
      <c r="C54" s="28" t="s">
        <v>44</v>
      </c>
      <c r="D54" s="29"/>
      <c r="E54" s="30" t="s">
        <v>96</v>
      </c>
      <c r="F54" s="31"/>
      <c r="G54" s="4">
        <v>4</v>
      </c>
      <c r="H54" s="4">
        <v>4</v>
      </c>
      <c r="I54" s="4">
        <v>4</v>
      </c>
      <c r="J54" s="4">
        <v>4</v>
      </c>
      <c r="K54" s="4">
        <v>4</v>
      </c>
      <c r="L54" s="5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</row>
    <row r="55" spans="1:26" x14ac:dyDescent="0.35">
      <c r="A55" s="38"/>
      <c r="B55" s="27"/>
      <c r="C55" s="28" t="s">
        <v>182</v>
      </c>
      <c r="D55" s="29"/>
      <c r="E55" s="30" t="s">
        <v>95</v>
      </c>
      <c r="F55" s="31"/>
      <c r="G55" s="4">
        <v>4</v>
      </c>
      <c r="H55" s="4">
        <v>4</v>
      </c>
      <c r="I55" s="4">
        <v>4</v>
      </c>
      <c r="J55" s="4">
        <v>4</v>
      </c>
      <c r="K55" s="4">
        <v>4</v>
      </c>
      <c r="L55" s="4">
        <v>4</v>
      </c>
      <c r="M55" s="5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</row>
    <row r="56" spans="1:26" x14ac:dyDescent="0.35">
      <c r="A56" s="38"/>
      <c r="B56" s="27"/>
      <c r="C56" s="28" t="s">
        <v>183</v>
      </c>
      <c r="D56" s="29"/>
      <c r="E56" s="30" t="s">
        <v>96</v>
      </c>
      <c r="F56" s="31"/>
      <c r="G56" s="4">
        <v>4</v>
      </c>
      <c r="H56" s="4">
        <v>4</v>
      </c>
      <c r="I56" s="4">
        <v>4</v>
      </c>
      <c r="J56" s="4">
        <v>4</v>
      </c>
      <c r="K56" s="4">
        <v>4</v>
      </c>
      <c r="L56" s="4">
        <v>4</v>
      </c>
      <c r="M56" s="4">
        <v>4</v>
      </c>
      <c r="N56" s="5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</row>
    <row r="57" spans="1:26" x14ac:dyDescent="0.35">
      <c r="A57" s="38"/>
      <c r="B57" s="27"/>
      <c r="C57" s="28" t="s">
        <v>42</v>
      </c>
      <c r="D57" s="29"/>
      <c r="E57" s="30" t="s">
        <v>95</v>
      </c>
      <c r="F57" s="31"/>
      <c r="G57" s="4">
        <v>4</v>
      </c>
      <c r="H57" s="4">
        <v>4</v>
      </c>
      <c r="I57" s="4">
        <v>4</v>
      </c>
      <c r="J57" s="4">
        <v>4</v>
      </c>
      <c r="K57" s="4">
        <v>4</v>
      </c>
      <c r="L57" s="4">
        <v>4</v>
      </c>
      <c r="M57" s="4">
        <v>4</v>
      </c>
      <c r="N57" s="4">
        <v>4</v>
      </c>
      <c r="O57" s="5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</row>
    <row r="58" spans="1:26" x14ac:dyDescent="0.35">
      <c r="A58" s="38"/>
      <c r="B58" s="27"/>
      <c r="C58" s="28" t="s">
        <v>43</v>
      </c>
      <c r="D58" s="29"/>
      <c r="E58" s="30" t="s">
        <v>96</v>
      </c>
      <c r="F58" s="31"/>
      <c r="G58" s="4">
        <v>3</v>
      </c>
      <c r="H58" s="4">
        <v>3</v>
      </c>
      <c r="I58" s="4">
        <v>3</v>
      </c>
      <c r="J58" s="4">
        <v>3</v>
      </c>
      <c r="K58" s="4">
        <v>3</v>
      </c>
      <c r="L58" s="4">
        <v>3</v>
      </c>
      <c r="M58" s="4">
        <v>3</v>
      </c>
      <c r="N58" s="4">
        <v>3</v>
      </c>
      <c r="O58" s="4">
        <v>3</v>
      </c>
      <c r="P58" s="5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</row>
    <row r="59" spans="1:26" x14ac:dyDescent="0.35">
      <c r="A59" s="38"/>
      <c r="B59" s="27"/>
      <c r="C59" s="28" t="s">
        <v>184</v>
      </c>
      <c r="D59" s="29"/>
      <c r="E59" s="30" t="s">
        <v>95</v>
      </c>
      <c r="F59" s="31"/>
      <c r="G59" s="4">
        <v>4</v>
      </c>
      <c r="H59" s="4">
        <v>4</v>
      </c>
      <c r="I59" s="4">
        <v>4</v>
      </c>
      <c r="J59" s="4">
        <v>4</v>
      </c>
      <c r="K59" s="4">
        <v>4</v>
      </c>
      <c r="L59" s="4">
        <v>4</v>
      </c>
      <c r="M59" s="4">
        <v>4</v>
      </c>
      <c r="N59" s="4">
        <v>4</v>
      </c>
      <c r="O59" s="4">
        <v>4</v>
      </c>
      <c r="P59" s="4">
        <v>4</v>
      </c>
      <c r="Q59" s="5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</row>
    <row r="60" spans="1:26" x14ac:dyDescent="0.35">
      <c r="A60" s="38"/>
      <c r="B60" s="27"/>
      <c r="C60" s="28" t="s">
        <v>185</v>
      </c>
      <c r="D60" s="29"/>
      <c r="E60" s="30" t="s">
        <v>96</v>
      </c>
      <c r="F60" s="31"/>
      <c r="G60" s="4">
        <v>5</v>
      </c>
      <c r="H60" s="4">
        <v>5</v>
      </c>
      <c r="I60" s="4">
        <v>5</v>
      </c>
      <c r="J60" s="4">
        <v>5</v>
      </c>
      <c r="K60" s="4">
        <v>5</v>
      </c>
      <c r="L60" s="4">
        <v>5</v>
      </c>
      <c r="M60" s="4">
        <v>5</v>
      </c>
      <c r="N60" s="4">
        <v>5</v>
      </c>
      <c r="O60" s="4">
        <v>5</v>
      </c>
      <c r="P60" s="4">
        <v>5</v>
      </c>
      <c r="Q60" s="4">
        <v>5</v>
      </c>
      <c r="R60" s="4">
        <v>5</v>
      </c>
      <c r="S60" s="4">
        <v>5</v>
      </c>
      <c r="T60" s="5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</row>
    <row r="61" spans="1:26" x14ac:dyDescent="0.35">
      <c r="A61" s="38"/>
      <c r="B61" s="27"/>
      <c r="C61" s="28" t="s">
        <v>47</v>
      </c>
      <c r="D61" s="29"/>
      <c r="E61" s="30" t="s">
        <v>95</v>
      </c>
      <c r="F61" s="31"/>
      <c r="G61" s="4">
        <v>4</v>
      </c>
      <c r="H61" s="4">
        <v>4</v>
      </c>
      <c r="I61" s="4">
        <v>4</v>
      </c>
      <c r="J61" s="4">
        <v>4</v>
      </c>
      <c r="K61" s="4">
        <v>4</v>
      </c>
      <c r="L61" s="4">
        <v>4</v>
      </c>
      <c r="M61" s="4">
        <v>4</v>
      </c>
      <c r="N61" s="4">
        <v>4</v>
      </c>
      <c r="O61" s="4">
        <v>4</v>
      </c>
      <c r="P61" s="4">
        <v>4</v>
      </c>
      <c r="Q61" s="4">
        <v>4</v>
      </c>
      <c r="R61" s="4">
        <v>4</v>
      </c>
      <c r="S61" s="4">
        <v>4</v>
      </c>
      <c r="T61" s="4">
        <v>4</v>
      </c>
      <c r="U61" s="5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</row>
    <row r="62" spans="1:26" x14ac:dyDescent="0.35">
      <c r="A62" s="38"/>
      <c r="B62" s="27"/>
      <c r="C62" s="28" t="s">
        <v>48</v>
      </c>
      <c r="D62" s="29"/>
      <c r="E62" s="30" t="s">
        <v>96</v>
      </c>
      <c r="F62" s="31"/>
      <c r="G62" s="4">
        <v>5</v>
      </c>
      <c r="H62" s="4">
        <v>5</v>
      </c>
      <c r="I62" s="4">
        <v>5</v>
      </c>
      <c r="J62" s="4">
        <v>5</v>
      </c>
      <c r="K62" s="4">
        <v>5</v>
      </c>
      <c r="L62" s="4">
        <v>5</v>
      </c>
      <c r="M62" s="4">
        <v>5</v>
      </c>
      <c r="N62" s="4">
        <v>5</v>
      </c>
      <c r="O62" s="4">
        <v>5</v>
      </c>
      <c r="P62" s="4">
        <v>5</v>
      </c>
      <c r="Q62" s="4">
        <v>5</v>
      </c>
      <c r="R62" s="4">
        <v>5</v>
      </c>
      <c r="S62" s="4">
        <v>5</v>
      </c>
      <c r="T62" s="4">
        <v>5</v>
      </c>
      <c r="U62" s="4">
        <v>5</v>
      </c>
      <c r="V62" s="4">
        <v>5</v>
      </c>
      <c r="W62" s="5">
        <v>0</v>
      </c>
      <c r="X62" s="4">
        <v>0</v>
      </c>
      <c r="Y62" s="4">
        <v>0</v>
      </c>
      <c r="Z62" s="4">
        <v>0</v>
      </c>
    </row>
    <row r="63" spans="1:26" x14ac:dyDescent="0.35">
      <c r="A63" s="38"/>
      <c r="B63" s="27"/>
      <c r="C63" s="28" t="s">
        <v>186</v>
      </c>
      <c r="D63" s="29"/>
      <c r="E63" s="30" t="s">
        <v>95</v>
      </c>
      <c r="F63" s="31"/>
      <c r="G63" s="4">
        <v>3</v>
      </c>
      <c r="H63" s="4">
        <v>3</v>
      </c>
      <c r="I63" s="4">
        <v>3</v>
      </c>
      <c r="J63" s="4">
        <v>3</v>
      </c>
      <c r="K63" s="4">
        <v>3</v>
      </c>
      <c r="L63" s="4">
        <v>3</v>
      </c>
      <c r="M63" s="4">
        <v>3</v>
      </c>
      <c r="N63" s="4">
        <v>3</v>
      </c>
      <c r="O63" s="4">
        <v>3</v>
      </c>
      <c r="P63" s="4">
        <v>3</v>
      </c>
      <c r="Q63" s="4">
        <v>3</v>
      </c>
      <c r="R63" s="4">
        <v>3</v>
      </c>
      <c r="S63" s="4">
        <v>3</v>
      </c>
      <c r="T63" s="4">
        <v>3</v>
      </c>
      <c r="U63" s="4">
        <v>3</v>
      </c>
      <c r="V63" s="4">
        <v>3</v>
      </c>
      <c r="W63" s="4">
        <v>3</v>
      </c>
      <c r="X63" s="5">
        <v>0</v>
      </c>
      <c r="Y63" s="4">
        <v>0</v>
      </c>
      <c r="Z63" s="4">
        <v>0</v>
      </c>
    </row>
    <row r="64" spans="1:26" x14ac:dyDescent="0.35">
      <c r="A64" s="38"/>
      <c r="B64" s="37"/>
      <c r="C64" s="51" t="s">
        <v>187</v>
      </c>
      <c r="D64" s="52"/>
      <c r="E64" s="30" t="s">
        <v>96</v>
      </c>
      <c r="F64" s="31"/>
      <c r="G64" s="4">
        <v>3</v>
      </c>
      <c r="H64" s="4">
        <v>3</v>
      </c>
      <c r="I64" s="4">
        <v>3</v>
      </c>
      <c r="J64" s="4">
        <v>3</v>
      </c>
      <c r="K64" s="4">
        <v>3</v>
      </c>
      <c r="L64" s="4">
        <v>3</v>
      </c>
      <c r="M64" s="4">
        <v>3</v>
      </c>
      <c r="N64" s="4">
        <v>3</v>
      </c>
      <c r="O64" s="4">
        <v>3</v>
      </c>
      <c r="P64" s="4">
        <v>3</v>
      </c>
      <c r="Q64" s="4">
        <v>3</v>
      </c>
      <c r="R64" s="4">
        <v>3</v>
      </c>
      <c r="S64" s="4">
        <v>3</v>
      </c>
      <c r="T64" s="4">
        <v>3</v>
      </c>
      <c r="U64" s="4">
        <v>3</v>
      </c>
      <c r="V64" s="4">
        <v>3</v>
      </c>
      <c r="W64" s="4">
        <v>3</v>
      </c>
      <c r="X64" s="4">
        <v>3</v>
      </c>
      <c r="Y64" s="5">
        <v>0</v>
      </c>
      <c r="Z64" s="4">
        <v>0</v>
      </c>
    </row>
    <row r="65" spans="1:26" x14ac:dyDescent="0.35">
      <c r="A65" s="27"/>
      <c r="B65" s="27" t="s">
        <v>123</v>
      </c>
      <c r="C65" s="53" t="s">
        <v>56</v>
      </c>
      <c r="D65" s="53"/>
      <c r="E65" s="30" t="s">
        <v>94</v>
      </c>
      <c r="F65" s="31"/>
      <c r="G65" s="4">
        <v>3</v>
      </c>
      <c r="H65" s="4">
        <v>3</v>
      </c>
      <c r="I65" s="4">
        <v>3</v>
      </c>
      <c r="J65" s="4">
        <v>3</v>
      </c>
      <c r="K65" s="4">
        <v>3</v>
      </c>
      <c r="L65" s="4">
        <v>3</v>
      </c>
      <c r="M65" s="5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</row>
    <row r="66" spans="1:26" x14ac:dyDescent="0.35">
      <c r="A66" s="38"/>
      <c r="B66" s="38"/>
      <c r="C66" s="56" t="s">
        <v>189</v>
      </c>
      <c r="D66" s="57"/>
      <c r="E66" s="30" t="s">
        <v>103</v>
      </c>
      <c r="F66" s="31"/>
      <c r="G66" s="4">
        <v>3</v>
      </c>
      <c r="H66" s="4">
        <v>3</v>
      </c>
      <c r="I66" s="4">
        <v>3</v>
      </c>
      <c r="J66" s="4">
        <v>3</v>
      </c>
      <c r="K66" s="4">
        <v>3</v>
      </c>
      <c r="L66" s="4">
        <v>3</v>
      </c>
      <c r="M66" s="5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</row>
    <row r="67" spans="1:26" x14ac:dyDescent="0.35">
      <c r="A67" s="27"/>
      <c r="B67" s="27"/>
      <c r="C67" s="53" t="s">
        <v>190</v>
      </c>
      <c r="D67" s="53"/>
      <c r="E67" s="30" t="s">
        <v>94</v>
      </c>
      <c r="F67" s="31"/>
      <c r="G67" s="4">
        <v>3</v>
      </c>
      <c r="H67" s="4">
        <v>3</v>
      </c>
      <c r="I67" s="4">
        <v>3</v>
      </c>
      <c r="J67" s="4">
        <v>3</v>
      </c>
      <c r="K67" s="4">
        <v>3</v>
      </c>
      <c r="L67" s="4">
        <v>3</v>
      </c>
      <c r="M67" s="4">
        <v>3</v>
      </c>
      <c r="N67" s="5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</row>
    <row r="68" spans="1:26" x14ac:dyDescent="0.35">
      <c r="A68" s="38"/>
      <c r="B68" s="38"/>
      <c r="C68" s="56" t="s">
        <v>191</v>
      </c>
      <c r="D68" s="57"/>
      <c r="E68" s="30" t="s">
        <v>104</v>
      </c>
      <c r="F68" s="31"/>
      <c r="G68" s="4">
        <v>3</v>
      </c>
      <c r="H68" s="4">
        <v>3</v>
      </c>
      <c r="I68" s="4">
        <v>3</v>
      </c>
      <c r="J68" s="4">
        <v>3</v>
      </c>
      <c r="K68" s="4">
        <v>3</v>
      </c>
      <c r="L68" s="4">
        <v>3</v>
      </c>
      <c r="M68" s="4">
        <v>3</v>
      </c>
      <c r="N68" s="5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</row>
    <row r="69" spans="1:26" x14ac:dyDescent="0.35">
      <c r="A69" s="27"/>
      <c r="B69" s="27"/>
      <c r="C69" s="53" t="s">
        <v>192</v>
      </c>
      <c r="D69" s="53"/>
      <c r="E69" s="30" t="s">
        <v>94</v>
      </c>
      <c r="F69" s="31"/>
      <c r="G69" s="4">
        <v>3</v>
      </c>
      <c r="H69" s="4">
        <v>3</v>
      </c>
      <c r="I69" s="4">
        <v>3</v>
      </c>
      <c r="J69" s="4">
        <v>3</v>
      </c>
      <c r="K69" s="4">
        <v>3</v>
      </c>
      <c r="L69" s="4">
        <v>3</v>
      </c>
      <c r="M69" s="4">
        <v>3</v>
      </c>
      <c r="N69" s="4">
        <v>3</v>
      </c>
      <c r="O69" s="5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</row>
    <row r="70" spans="1:26" x14ac:dyDescent="0.35">
      <c r="A70" s="38"/>
      <c r="B70" s="38"/>
      <c r="C70" s="56" t="s">
        <v>193</v>
      </c>
      <c r="D70" s="57"/>
      <c r="E70" s="30" t="s">
        <v>103</v>
      </c>
      <c r="F70" s="31"/>
      <c r="G70" s="4">
        <v>3</v>
      </c>
      <c r="H70" s="4">
        <v>3</v>
      </c>
      <c r="I70" s="4">
        <v>3</v>
      </c>
      <c r="J70" s="4">
        <v>3</v>
      </c>
      <c r="K70" s="4">
        <v>3</v>
      </c>
      <c r="L70" s="4">
        <v>3</v>
      </c>
      <c r="M70" s="4">
        <v>3</v>
      </c>
      <c r="N70" s="4">
        <v>3</v>
      </c>
      <c r="O70" s="5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</row>
    <row r="71" spans="1:26" x14ac:dyDescent="0.35">
      <c r="A71" s="27"/>
      <c r="B71" s="27"/>
      <c r="C71" s="53" t="s">
        <v>54</v>
      </c>
      <c r="D71" s="53"/>
      <c r="E71" s="30" t="s">
        <v>94</v>
      </c>
      <c r="F71" s="31"/>
      <c r="G71" s="4">
        <v>3</v>
      </c>
      <c r="H71" s="4">
        <v>3</v>
      </c>
      <c r="I71" s="4">
        <v>3</v>
      </c>
      <c r="J71" s="4">
        <v>3</v>
      </c>
      <c r="K71" s="4">
        <v>3</v>
      </c>
      <c r="L71" s="4">
        <v>3</v>
      </c>
      <c r="M71" s="4">
        <v>3</v>
      </c>
      <c r="N71" s="4">
        <v>3</v>
      </c>
      <c r="O71" s="4">
        <v>3</v>
      </c>
      <c r="P71" s="5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</row>
    <row r="72" spans="1:26" x14ac:dyDescent="0.35">
      <c r="A72" s="38"/>
      <c r="B72" s="38"/>
      <c r="C72" s="56" t="s">
        <v>87</v>
      </c>
      <c r="D72" s="57"/>
      <c r="E72" s="30" t="s">
        <v>104</v>
      </c>
      <c r="F72" s="31"/>
      <c r="G72" s="4">
        <v>3</v>
      </c>
      <c r="H72" s="4">
        <v>3</v>
      </c>
      <c r="I72" s="4">
        <v>3</v>
      </c>
      <c r="J72" s="4">
        <v>3</v>
      </c>
      <c r="K72" s="4">
        <v>3</v>
      </c>
      <c r="L72" s="4">
        <v>3</v>
      </c>
      <c r="M72" s="4">
        <v>3</v>
      </c>
      <c r="N72" s="4">
        <v>3</v>
      </c>
      <c r="O72" s="4">
        <v>3</v>
      </c>
      <c r="P72" s="5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</row>
    <row r="73" spans="1:26" x14ac:dyDescent="0.35">
      <c r="A73" s="27"/>
      <c r="B73" s="27"/>
      <c r="C73" s="53" t="s">
        <v>55</v>
      </c>
      <c r="D73" s="53"/>
      <c r="E73" s="30" t="s">
        <v>94</v>
      </c>
      <c r="F73" s="31"/>
      <c r="G73" s="4">
        <v>2</v>
      </c>
      <c r="H73" s="4">
        <v>2</v>
      </c>
      <c r="I73" s="4">
        <v>2</v>
      </c>
      <c r="J73" s="4">
        <v>2</v>
      </c>
      <c r="K73" s="4">
        <v>2</v>
      </c>
      <c r="L73" s="4">
        <v>2</v>
      </c>
      <c r="M73" s="4">
        <v>2</v>
      </c>
      <c r="N73" s="4">
        <v>2</v>
      </c>
      <c r="O73" s="4">
        <v>2</v>
      </c>
      <c r="P73" s="5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</row>
    <row r="74" spans="1:26" x14ac:dyDescent="0.35">
      <c r="A74" s="38"/>
      <c r="B74" s="38"/>
      <c r="C74" s="56" t="s">
        <v>194</v>
      </c>
      <c r="D74" s="57"/>
      <c r="E74" s="30" t="s">
        <v>103</v>
      </c>
      <c r="F74" s="31"/>
      <c r="G74" s="4">
        <v>2</v>
      </c>
      <c r="H74" s="4">
        <v>2</v>
      </c>
      <c r="I74" s="4">
        <v>2</v>
      </c>
      <c r="J74" s="4">
        <v>2</v>
      </c>
      <c r="K74" s="4">
        <v>2</v>
      </c>
      <c r="L74" s="4">
        <v>2</v>
      </c>
      <c r="M74" s="4">
        <v>2</v>
      </c>
      <c r="N74" s="4">
        <v>2</v>
      </c>
      <c r="O74" s="4">
        <v>2</v>
      </c>
      <c r="P74" s="5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</row>
    <row r="75" spans="1:26" x14ac:dyDescent="0.35">
      <c r="A75" s="27"/>
      <c r="B75" s="27"/>
      <c r="C75" s="53" t="s">
        <v>195</v>
      </c>
      <c r="D75" s="53"/>
      <c r="E75" s="30" t="s">
        <v>94</v>
      </c>
      <c r="F75" s="31"/>
      <c r="G75" s="4">
        <v>3</v>
      </c>
      <c r="H75" s="4">
        <v>3</v>
      </c>
      <c r="I75" s="4">
        <v>3</v>
      </c>
      <c r="J75" s="4">
        <v>3</v>
      </c>
      <c r="K75" s="4">
        <v>3</v>
      </c>
      <c r="L75" s="4">
        <v>3</v>
      </c>
      <c r="M75" s="4">
        <v>3</v>
      </c>
      <c r="N75" s="4">
        <v>3</v>
      </c>
      <c r="O75" s="4">
        <v>3</v>
      </c>
      <c r="P75" s="4">
        <v>3</v>
      </c>
      <c r="Q75" s="4">
        <v>3</v>
      </c>
      <c r="R75" s="5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</row>
    <row r="76" spans="1:26" x14ac:dyDescent="0.35">
      <c r="A76" s="38"/>
      <c r="B76" s="38"/>
      <c r="C76" s="56" t="s">
        <v>196</v>
      </c>
      <c r="D76" s="57"/>
      <c r="E76" s="30" t="s">
        <v>104</v>
      </c>
      <c r="F76" s="31"/>
      <c r="G76" s="4">
        <v>3</v>
      </c>
      <c r="H76" s="4">
        <v>3</v>
      </c>
      <c r="I76" s="4">
        <v>3</v>
      </c>
      <c r="J76" s="4">
        <v>3</v>
      </c>
      <c r="K76" s="4">
        <v>3</v>
      </c>
      <c r="L76" s="4">
        <v>3</v>
      </c>
      <c r="M76" s="4">
        <v>3</v>
      </c>
      <c r="N76" s="4">
        <v>3</v>
      </c>
      <c r="O76" s="4">
        <v>3</v>
      </c>
      <c r="P76" s="4">
        <v>3</v>
      </c>
      <c r="Q76" s="4">
        <v>3</v>
      </c>
      <c r="R76" s="5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</row>
    <row r="77" spans="1:26" x14ac:dyDescent="0.35">
      <c r="A77" s="27"/>
      <c r="B77" s="27"/>
      <c r="C77" s="53" t="s">
        <v>197</v>
      </c>
      <c r="D77" s="53"/>
      <c r="E77" s="30" t="s">
        <v>94</v>
      </c>
      <c r="F77" s="31"/>
      <c r="G77" s="4">
        <v>5</v>
      </c>
      <c r="H77" s="4">
        <v>5</v>
      </c>
      <c r="I77" s="4">
        <v>5</v>
      </c>
      <c r="J77" s="4">
        <v>5</v>
      </c>
      <c r="K77" s="4">
        <v>5</v>
      </c>
      <c r="L77" s="4">
        <v>5</v>
      </c>
      <c r="M77" s="4">
        <v>5</v>
      </c>
      <c r="N77" s="4">
        <v>5</v>
      </c>
      <c r="O77" s="4">
        <v>5</v>
      </c>
      <c r="P77" s="4">
        <v>5</v>
      </c>
      <c r="Q77" s="4">
        <v>5</v>
      </c>
      <c r="R77" s="4">
        <v>5</v>
      </c>
      <c r="S77" s="4">
        <v>5</v>
      </c>
      <c r="T77" s="4">
        <v>5</v>
      </c>
      <c r="U77" s="5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</row>
    <row r="78" spans="1:26" x14ac:dyDescent="0.35">
      <c r="A78" s="38"/>
      <c r="B78" s="38"/>
      <c r="C78" s="56" t="s">
        <v>198</v>
      </c>
      <c r="D78" s="57"/>
      <c r="E78" s="30" t="s">
        <v>103</v>
      </c>
      <c r="F78" s="31"/>
      <c r="G78" s="4">
        <v>3</v>
      </c>
      <c r="H78" s="4">
        <v>3</v>
      </c>
      <c r="I78" s="4">
        <v>3</v>
      </c>
      <c r="J78" s="4">
        <v>3</v>
      </c>
      <c r="K78" s="4">
        <v>3</v>
      </c>
      <c r="L78" s="4">
        <v>3</v>
      </c>
      <c r="M78" s="4">
        <v>3</v>
      </c>
      <c r="N78" s="4">
        <v>3</v>
      </c>
      <c r="O78" s="4">
        <v>3</v>
      </c>
      <c r="P78" s="4">
        <v>3</v>
      </c>
      <c r="Q78" s="4">
        <v>3</v>
      </c>
      <c r="R78" s="4">
        <v>3</v>
      </c>
      <c r="S78" s="4">
        <v>3</v>
      </c>
      <c r="T78" s="4">
        <v>3</v>
      </c>
      <c r="U78" s="5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</row>
    <row r="79" spans="1:26" x14ac:dyDescent="0.35">
      <c r="A79" s="27"/>
      <c r="B79" s="27"/>
      <c r="C79" s="53" t="s">
        <v>59</v>
      </c>
      <c r="D79" s="53"/>
      <c r="E79" s="30" t="s">
        <v>94</v>
      </c>
      <c r="F79" s="31"/>
      <c r="G79" s="4">
        <v>3</v>
      </c>
      <c r="H79" s="4">
        <v>3</v>
      </c>
      <c r="I79" s="4">
        <v>3</v>
      </c>
      <c r="J79" s="4">
        <v>3</v>
      </c>
      <c r="K79" s="4">
        <v>3</v>
      </c>
      <c r="L79" s="4">
        <v>3</v>
      </c>
      <c r="M79" s="4">
        <v>3</v>
      </c>
      <c r="N79" s="4">
        <v>3</v>
      </c>
      <c r="O79" s="4">
        <v>3</v>
      </c>
      <c r="P79" s="4">
        <v>3</v>
      </c>
      <c r="Q79" s="4">
        <v>3</v>
      </c>
      <c r="R79" s="4">
        <v>3</v>
      </c>
      <c r="S79" s="4">
        <v>3</v>
      </c>
      <c r="T79" s="4">
        <v>3</v>
      </c>
      <c r="U79" s="4">
        <v>3</v>
      </c>
      <c r="V79" s="5">
        <v>0</v>
      </c>
      <c r="W79" s="4">
        <v>0</v>
      </c>
      <c r="X79" s="4">
        <v>0</v>
      </c>
      <c r="Y79" s="4">
        <v>0</v>
      </c>
      <c r="Z79" s="4">
        <v>0</v>
      </c>
    </row>
    <row r="80" spans="1:26" x14ac:dyDescent="0.35">
      <c r="A80" s="38"/>
      <c r="B80" s="38"/>
      <c r="C80" s="56" t="s">
        <v>199</v>
      </c>
      <c r="D80" s="57"/>
      <c r="E80" s="30" t="s">
        <v>104</v>
      </c>
      <c r="F80" s="31"/>
      <c r="G80" s="4">
        <v>3</v>
      </c>
      <c r="H80" s="4">
        <v>3</v>
      </c>
      <c r="I80" s="4">
        <v>3</v>
      </c>
      <c r="J80" s="4">
        <v>3</v>
      </c>
      <c r="K80" s="4">
        <v>3</v>
      </c>
      <c r="L80" s="4">
        <v>3</v>
      </c>
      <c r="M80" s="4">
        <v>3</v>
      </c>
      <c r="N80" s="4">
        <v>3</v>
      </c>
      <c r="O80" s="4">
        <v>3</v>
      </c>
      <c r="P80" s="4">
        <v>3</v>
      </c>
      <c r="Q80" s="4">
        <v>3</v>
      </c>
      <c r="R80" s="4">
        <v>3</v>
      </c>
      <c r="S80" s="4">
        <v>3</v>
      </c>
      <c r="T80" s="4">
        <v>3</v>
      </c>
      <c r="U80" s="4">
        <v>3</v>
      </c>
      <c r="V80" s="5">
        <v>0</v>
      </c>
      <c r="W80" s="4">
        <v>0</v>
      </c>
      <c r="X80" s="4">
        <v>0</v>
      </c>
      <c r="Y80" s="4">
        <v>0</v>
      </c>
      <c r="Z80" s="4">
        <v>0</v>
      </c>
    </row>
    <row r="81" spans="1:26" x14ac:dyDescent="0.35">
      <c r="A81" s="27"/>
      <c r="B81" s="27"/>
      <c r="C81" s="53" t="s">
        <v>60</v>
      </c>
      <c r="D81" s="53"/>
      <c r="E81" s="30" t="s">
        <v>94</v>
      </c>
      <c r="F81" s="31"/>
      <c r="G81" s="4">
        <v>4</v>
      </c>
      <c r="H81" s="4">
        <v>4</v>
      </c>
      <c r="I81" s="4">
        <v>4</v>
      </c>
      <c r="J81" s="4">
        <v>4</v>
      </c>
      <c r="K81" s="4">
        <v>4</v>
      </c>
      <c r="L81" s="4">
        <v>4</v>
      </c>
      <c r="M81" s="4">
        <v>4</v>
      </c>
      <c r="N81" s="4">
        <v>4</v>
      </c>
      <c r="O81" s="4">
        <v>4</v>
      </c>
      <c r="P81" s="4">
        <v>4</v>
      </c>
      <c r="Q81" s="4">
        <v>4</v>
      </c>
      <c r="R81" s="4">
        <v>4</v>
      </c>
      <c r="S81" s="4">
        <v>4</v>
      </c>
      <c r="T81" s="4">
        <v>4</v>
      </c>
      <c r="U81" s="4">
        <v>4</v>
      </c>
      <c r="V81" s="4">
        <v>4</v>
      </c>
      <c r="W81" s="4">
        <v>4</v>
      </c>
      <c r="X81" s="5">
        <v>0</v>
      </c>
      <c r="Y81" s="4">
        <v>0</v>
      </c>
      <c r="Z81" s="4">
        <v>0</v>
      </c>
    </row>
    <row r="82" spans="1:26" x14ac:dyDescent="0.35">
      <c r="A82" s="38"/>
      <c r="B82" s="38"/>
      <c r="C82" s="56" t="s">
        <v>200</v>
      </c>
      <c r="D82" s="57"/>
      <c r="E82" s="30" t="s">
        <v>103</v>
      </c>
      <c r="F82" s="31"/>
      <c r="G82" s="4">
        <v>3</v>
      </c>
      <c r="H82" s="4">
        <v>3</v>
      </c>
      <c r="I82" s="4">
        <v>3</v>
      </c>
      <c r="J82" s="4">
        <v>3</v>
      </c>
      <c r="K82" s="4">
        <v>3</v>
      </c>
      <c r="L82" s="4">
        <v>3</v>
      </c>
      <c r="M82" s="4">
        <v>3</v>
      </c>
      <c r="N82" s="4">
        <v>3</v>
      </c>
      <c r="O82" s="4">
        <v>3</v>
      </c>
      <c r="P82" s="4">
        <v>3</v>
      </c>
      <c r="Q82" s="4">
        <v>3</v>
      </c>
      <c r="R82" s="4">
        <v>3</v>
      </c>
      <c r="S82" s="4">
        <v>3</v>
      </c>
      <c r="T82" s="4">
        <v>3</v>
      </c>
      <c r="U82" s="4">
        <v>3</v>
      </c>
      <c r="V82" s="4">
        <v>3</v>
      </c>
      <c r="W82" s="4">
        <v>3</v>
      </c>
      <c r="X82" s="5">
        <v>0</v>
      </c>
      <c r="Y82" s="4">
        <v>0</v>
      </c>
      <c r="Z82" s="4">
        <v>0</v>
      </c>
    </row>
    <row r="83" spans="1:26" x14ac:dyDescent="0.35">
      <c r="A83" s="27"/>
      <c r="B83" s="27"/>
      <c r="C83" s="53" t="s">
        <v>201</v>
      </c>
      <c r="D83" s="53"/>
      <c r="E83" s="30" t="s">
        <v>94</v>
      </c>
      <c r="F83" s="31"/>
      <c r="G83" s="4">
        <v>2</v>
      </c>
      <c r="H83" s="4">
        <v>2</v>
      </c>
      <c r="I83" s="4">
        <v>2</v>
      </c>
      <c r="J83" s="4">
        <v>2</v>
      </c>
      <c r="K83" s="4">
        <v>2</v>
      </c>
      <c r="L83" s="4">
        <v>2</v>
      </c>
      <c r="M83" s="4">
        <v>2</v>
      </c>
      <c r="N83" s="4">
        <v>2</v>
      </c>
      <c r="O83" s="4">
        <v>2</v>
      </c>
      <c r="P83" s="4">
        <v>2</v>
      </c>
      <c r="Q83" s="4">
        <v>2</v>
      </c>
      <c r="R83" s="4">
        <v>2</v>
      </c>
      <c r="S83" s="4">
        <v>2</v>
      </c>
      <c r="T83" s="4">
        <v>2</v>
      </c>
      <c r="U83" s="4">
        <v>2</v>
      </c>
      <c r="V83" s="4">
        <v>2</v>
      </c>
      <c r="W83" s="4">
        <v>2</v>
      </c>
      <c r="X83" s="4">
        <v>2</v>
      </c>
      <c r="Y83" s="5">
        <v>0</v>
      </c>
      <c r="Z83" s="4">
        <v>0</v>
      </c>
    </row>
    <row r="84" spans="1:26" x14ac:dyDescent="0.35">
      <c r="A84" s="38"/>
      <c r="B84" s="38"/>
      <c r="C84" s="56" t="s">
        <v>202</v>
      </c>
      <c r="D84" s="57"/>
      <c r="E84" s="30" t="s">
        <v>104</v>
      </c>
      <c r="F84" s="31"/>
      <c r="G84" s="4">
        <v>2</v>
      </c>
      <c r="H84" s="4">
        <v>2</v>
      </c>
      <c r="I84" s="4">
        <v>2</v>
      </c>
      <c r="J84" s="4">
        <v>2</v>
      </c>
      <c r="K84" s="4">
        <v>2</v>
      </c>
      <c r="L84" s="4">
        <v>2</v>
      </c>
      <c r="M84" s="4">
        <v>2</v>
      </c>
      <c r="N84" s="4">
        <v>2</v>
      </c>
      <c r="O84" s="4">
        <v>2</v>
      </c>
      <c r="P84" s="4">
        <v>2</v>
      </c>
      <c r="Q84" s="4">
        <v>2</v>
      </c>
      <c r="R84" s="4">
        <v>2</v>
      </c>
      <c r="S84" s="4">
        <v>2</v>
      </c>
      <c r="T84" s="4">
        <v>2</v>
      </c>
      <c r="U84" s="4">
        <v>2</v>
      </c>
      <c r="V84" s="4">
        <v>2</v>
      </c>
      <c r="W84" s="4">
        <v>2</v>
      </c>
      <c r="X84" s="4">
        <v>2</v>
      </c>
      <c r="Y84" s="5">
        <v>0</v>
      </c>
      <c r="Z84" s="4">
        <v>0</v>
      </c>
    </row>
    <row r="85" spans="1:26" x14ac:dyDescent="0.35">
      <c r="A85" s="27"/>
      <c r="B85" s="27"/>
      <c r="C85" s="53" t="s">
        <v>203</v>
      </c>
      <c r="D85" s="53"/>
      <c r="E85" s="30" t="s">
        <v>94</v>
      </c>
      <c r="F85" s="31"/>
      <c r="G85" s="4">
        <v>2</v>
      </c>
      <c r="H85" s="4">
        <v>2</v>
      </c>
      <c r="I85" s="4">
        <v>2</v>
      </c>
      <c r="J85" s="4">
        <v>2</v>
      </c>
      <c r="K85" s="4">
        <v>2</v>
      </c>
      <c r="L85" s="4">
        <v>2</v>
      </c>
      <c r="M85" s="4">
        <v>2</v>
      </c>
      <c r="N85" s="4">
        <v>2</v>
      </c>
      <c r="O85" s="4">
        <v>2</v>
      </c>
      <c r="P85" s="4">
        <v>2</v>
      </c>
      <c r="Q85" s="4">
        <v>2</v>
      </c>
      <c r="R85" s="4">
        <v>2</v>
      </c>
      <c r="S85" s="4">
        <v>2</v>
      </c>
      <c r="T85" s="4">
        <v>2</v>
      </c>
      <c r="U85" s="4">
        <v>2</v>
      </c>
      <c r="V85" s="4">
        <v>2</v>
      </c>
      <c r="W85" s="4">
        <v>2</v>
      </c>
      <c r="X85" s="4">
        <v>2</v>
      </c>
      <c r="Y85" s="5">
        <v>0</v>
      </c>
      <c r="Z85" s="4">
        <v>0</v>
      </c>
    </row>
    <row r="86" spans="1:26" x14ac:dyDescent="0.35">
      <c r="A86" s="38"/>
      <c r="B86" s="39"/>
      <c r="C86" s="54" t="s">
        <v>204</v>
      </c>
      <c r="D86" s="55"/>
      <c r="E86" s="30" t="s">
        <v>103</v>
      </c>
      <c r="F86" s="31"/>
      <c r="G86" s="4">
        <v>2</v>
      </c>
      <c r="H86" s="4">
        <v>2</v>
      </c>
      <c r="I86" s="4">
        <v>2</v>
      </c>
      <c r="J86" s="4">
        <v>2</v>
      </c>
      <c r="K86" s="4">
        <v>2</v>
      </c>
      <c r="L86" s="4">
        <v>2</v>
      </c>
      <c r="M86" s="4">
        <v>2</v>
      </c>
      <c r="N86" s="4">
        <v>2</v>
      </c>
      <c r="O86" s="4">
        <v>2</v>
      </c>
      <c r="P86" s="4">
        <v>2</v>
      </c>
      <c r="Q86" s="4">
        <v>2</v>
      </c>
      <c r="R86" s="4">
        <v>2</v>
      </c>
      <c r="S86" s="4">
        <v>2</v>
      </c>
      <c r="T86" s="4">
        <v>2</v>
      </c>
      <c r="U86" s="4">
        <v>2</v>
      </c>
      <c r="V86" s="4">
        <v>2</v>
      </c>
      <c r="W86" s="4">
        <v>2</v>
      </c>
      <c r="X86" s="4">
        <v>2</v>
      </c>
      <c r="Y86" s="5">
        <v>0</v>
      </c>
      <c r="Z86" s="4">
        <v>0</v>
      </c>
    </row>
    <row r="87" spans="1:26" x14ac:dyDescent="0.35">
      <c r="A87" s="38"/>
      <c r="B87" s="27" t="s">
        <v>16</v>
      </c>
      <c r="C87" s="28" t="s">
        <v>67</v>
      </c>
      <c r="D87" s="29"/>
      <c r="E87" s="30" t="s">
        <v>96</v>
      </c>
      <c r="F87" s="31"/>
      <c r="G87" s="4">
        <v>2</v>
      </c>
      <c r="H87" s="4">
        <v>2</v>
      </c>
      <c r="I87" s="4">
        <v>2</v>
      </c>
      <c r="J87" s="4">
        <v>2</v>
      </c>
      <c r="K87" s="4">
        <v>2</v>
      </c>
      <c r="L87" s="4">
        <v>2</v>
      </c>
      <c r="M87" s="5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</row>
    <row r="88" spans="1:26" x14ac:dyDescent="0.35">
      <c r="A88" s="38"/>
      <c r="B88" s="27"/>
      <c r="C88" s="28" t="s">
        <v>210</v>
      </c>
      <c r="D88" s="29"/>
      <c r="E88" s="30" t="s">
        <v>95</v>
      </c>
      <c r="F88" s="31"/>
      <c r="G88" s="4">
        <v>2</v>
      </c>
      <c r="H88" s="4">
        <v>2</v>
      </c>
      <c r="I88" s="4">
        <v>2</v>
      </c>
      <c r="J88" s="4">
        <v>2</v>
      </c>
      <c r="K88" s="4">
        <v>2</v>
      </c>
      <c r="L88" s="4">
        <v>2</v>
      </c>
      <c r="M88" s="4">
        <v>2</v>
      </c>
      <c r="N88" s="5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</row>
    <row r="89" spans="1:26" x14ac:dyDescent="0.35">
      <c r="A89" s="38"/>
      <c r="B89" s="27"/>
      <c r="C89" s="28" t="s">
        <v>211</v>
      </c>
      <c r="D89" s="29"/>
      <c r="E89" s="30" t="s">
        <v>96</v>
      </c>
      <c r="F89" s="31"/>
      <c r="G89" s="4">
        <v>2</v>
      </c>
      <c r="H89" s="4">
        <v>2</v>
      </c>
      <c r="I89" s="4">
        <v>2</v>
      </c>
      <c r="J89" s="4">
        <v>2</v>
      </c>
      <c r="K89" s="4">
        <v>2</v>
      </c>
      <c r="L89" s="4">
        <v>2</v>
      </c>
      <c r="M89" s="4">
        <v>2</v>
      </c>
      <c r="N89" s="4">
        <v>2</v>
      </c>
      <c r="O89" s="5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</row>
    <row r="90" spans="1:26" x14ac:dyDescent="0.35">
      <c r="A90" s="38"/>
      <c r="B90" s="27"/>
      <c r="C90" s="28" t="s">
        <v>65</v>
      </c>
      <c r="D90" s="29"/>
      <c r="E90" s="30" t="s">
        <v>95</v>
      </c>
      <c r="F90" s="31"/>
      <c r="G90" s="4">
        <v>2</v>
      </c>
      <c r="H90" s="4">
        <v>2</v>
      </c>
      <c r="I90" s="4">
        <v>2</v>
      </c>
      <c r="J90" s="4">
        <v>2</v>
      </c>
      <c r="K90" s="4">
        <v>2</v>
      </c>
      <c r="L90" s="4">
        <v>2</v>
      </c>
      <c r="M90" s="4">
        <v>2</v>
      </c>
      <c r="N90" s="4">
        <v>2</v>
      </c>
      <c r="O90" s="4">
        <v>2</v>
      </c>
      <c r="P90" s="5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</row>
    <row r="91" spans="1:26" x14ac:dyDescent="0.35">
      <c r="A91" s="38"/>
      <c r="B91" s="27"/>
      <c r="C91" s="28" t="s">
        <v>66</v>
      </c>
      <c r="D91" s="29"/>
      <c r="E91" s="30" t="s">
        <v>96</v>
      </c>
      <c r="F91" s="31"/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5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</row>
    <row r="92" spans="1:26" x14ac:dyDescent="0.35">
      <c r="A92" s="38"/>
      <c r="B92" s="27"/>
      <c r="C92" s="28" t="s">
        <v>212</v>
      </c>
      <c r="D92" s="29"/>
      <c r="E92" s="30" t="s">
        <v>95</v>
      </c>
      <c r="F92" s="31"/>
      <c r="G92" s="4">
        <v>2</v>
      </c>
      <c r="H92" s="4">
        <v>2</v>
      </c>
      <c r="I92" s="4">
        <v>2</v>
      </c>
      <c r="J92" s="4">
        <v>2</v>
      </c>
      <c r="K92" s="4">
        <v>2</v>
      </c>
      <c r="L92" s="4">
        <v>2</v>
      </c>
      <c r="M92" s="4">
        <v>2</v>
      </c>
      <c r="N92" s="4">
        <v>2</v>
      </c>
      <c r="O92" s="4">
        <v>2</v>
      </c>
      <c r="P92" s="4">
        <v>2</v>
      </c>
      <c r="Q92" s="4">
        <v>2</v>
      </c>
      <c r="R92" s="5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</row>
    <row r="93" spans="1:26" x14ac:dyDescent="0.35">
      <c r="A93" s="38"/>
      <c r="B93" s="27"/>
      <c r="C93" s="28" t="s">
        <v>213</v>
      </c>
      <c r="D93" s="29"/>
      <c r="E93" s="30" t="s">
        <v>96</v>
      </c>
      <c r="F93" s="31"/>
      <c r="G93" s="4">
        <v>2</v>
      </c>
      <c r="H93" s="4">
        <v>2</v>
      </c>
      <c r="I93" s="4">
        <v>2</v>
      </c>
      <c r="J93" s="4">
        <v>2</v>
      </c>
      <c r="K93" s="4">
        <v>2</v>
      </c>
      <c r="L93" s="4">
        <v>2</v>
      </c>
      <c r="M93" s="4">
        <v>2</v>
      </c>
      <c r="N93" s="4">
        <v>2</v>
      </c>
      <c r="O93" s="4">
        <v>2</v>
      </c>
      <c r="P93" s="4">
        <v>2</v>
      </c>
      <c r="Q93" s="4">
        <v>2</v>
      </c>
      <c r="R93" s="4">
        <v>2</v>
      </c>
      <c r="S93" s="4">
        <v>2</v>
      </c>
      <c r="T93" s="4">
        <v>2</v>
      </c>
      <c r="U93" s="5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</row>
    <row r="94" spans="1:26" x14ac:dyDescent="0.35">
      <c r="A94" s="38"/>
      <c r="B94" s="27"/>
      <c r="C94" s="28" t="s">
        <v>71</v>
      </c>
      <c r="D94" s="29"/>
      <c r="E94" s="30" t="s">
        <v>95</v>
      </c>
      <c r="F94" s="31"/>
      <c r="G94" s="4">
        <v>2</v>
      </c>
      <c r="H94" s="4">
        <v>2</v>
      </c>
      <c r="I94" s="4">
        <v>2</v>
      </c>
      <c r="J94" s="4">
        <v>2</v>
      </c>
      <c r="K94" s="4">
        <v>2</v>
      </c>
      <c r="L94" s="4">
        <v>2</v>
      </c>
      <c r="M94" s="4">
        <v>2</v>
      </c>
      <c r="N94" s="4">
        <v>2</v>
      </c>
      <c r="O94" s="4">
        <v>2</v>
      </c>
      <c r="P94" s="4">
        <v>2</v>
      </c>
      <c r="Q94" s="4">
        <v>2</v>
      </c>
      <c r="R94" s="4">
        <v>2</v>
      </c>
      <c r="S94" s="4">
        <v>2</v>
      </c>
      <c r="T94" s="4">
        <v>2</v>
      </c>
      <c r="U94" s="4">
        <v>2</v>
      </c>
      <c r="V94" s="5">
        <v>0</v>
      </c>
      <c r="W94" s="4">
        <v>0</v>
      </c>
      <c r="X94" s="4">
        <v>0</v>
      </c>
      <c r="Y94" s="4">
        <v>0</v>
      </c>
      <c r="Z94" s="4">
        <v>0</v>
      </c>
    </row>
    <row r="95" spans="1:26" x14ac:dyDescent="0.35">
      <c r="A95" s="38"/>
      <c r="B95" s="27"/>
      <c r="C95" s="28" t="s">
        <v>70</v>
      </c>
      <c r="D95" s="29"/>
      <c r="E95" s="30" t="s">
        <v>96</v>
      </c>
      <c r="F95" s="31"/>
      <c r="G95" s="4">
        <v>2</v>
      </c>
      <c r="H95" s="4">
        <v>2</v>
      </c>
      <c r="I95" s="4">
        <v>2</v>
      </c>
      <c r="J95" s="4">
        <v>2</v>
      </c>
      <c r="K95" s="4">
        <v>2</v>
      </c>
      <c r="L95" s="4">
        <v>2</v>
      </c>
      <c r="M95" s="4">
        <v>2</v>
      </c>
      <c r="N95" s="4">
        <v>2</v>
      </c>
      <c r="O95" s="4">
        <v>2</v>
      </c>
      <c r="P95" s="4">
        <v>2</v>
      </c>
      <c r="Q95" s="4">
        <v>2</v>
      </c>
      <c r="R95" s="4">
        <v>2</v>
      </c>
      <c r="S95" s="4">
        <v>2</v>
      </c>
      <c r="T95" s="4">
        <v>2</v>
      </c>
      <c r="U95" s="4">
        <v>2</v>
      </c>
      <c r="V95" s="4">
        <v>2</v>
      </c>
      <c r="W95" s="4">
        <v>2</v>
      </c>
      <c r="X95" s="5">
        <v>0</v>
      </c>
      <c r="Y95" s="4">
        <v>0</v>
      </c>
      <c r="Z95" s="4">
        <v>0</v>
      </c>
    </row>
    <row r="96" spans="1:26" x14ac:dyDescent="0.35">
      <c r="A96" s="38"/>
      <c r="B96" s="27"/>
      <c r="C96" s="28" t="s">
        <v>214</v>
      </c>
      <c r="D96" s="29"/>
      <c r="E96" s="30" t="s">
        <v>95</v>
      </c>
      <c r="F96" s="31"/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5">
        <v>0</v>
      </c>
      <c r="Z96" s="4">
        <v>0</v>
      </c>
    </row>
    <row r="97" spans="1:26" x14ac:dyDescent="0.35">
      <c r="A97" s="38"/>
      <c r="B97" s="27"/>
      <c r="C97" s="28" t="s">
        <v>215</v>
      </c>
      <c r="D97" s="29"/>
      <c r="E97" s="30" t="s">
        <v>96</v>
      </c>
      <c r="F97" s="31"/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5">
        <v>0</v>
      </c>
      <c r="Z97" s="4">
        <v>0</v>
      </c>
    </row>
    <row r="98" spans="1:26" x14ac:dyDescent="0.35">
      <c r="A98" s="38"/>
      <c r="B98" s="27" t="s">
        <v>263</v>
      </c>
      <c r="C98" s="28" t="s">
        <v>205</v>
      </c>
      <c r="D98" s="29"/>
      <c r="E98" s="30" t="s">
        <v>17</v>
      </c>
      <c r="F98" s="31"/>
      <c r="G98" s="4">
        <v>4</v>
      </c>
      <c r="H98" s="4">
        <v>4</v>
      </c>
      <c r="I98" s="4">
        <v>4</v>
      </c>
      <c r="J98" s="4">
        <v>4</v>
      </c>
      <c r="K98" s="4">
        <v>4</v>
      </c>
      <c r="L98" s="4">
        <v>4</v>
      </c>
      <c r="M98" s="4">
        <v>4</v>
      </c>
      <c r="N98" s="4">
        <v>4</v>
      </c>
      <c r="O98" s="4">
        <v>4</v>
      </c>
      <c r="P98" s="4">
        <v>4</v>
      </c>
      <c r="Q98" s="4">
        <v>4</v>
      </c>
      <c r="R98" s="4">
        <v>4</v>
      </c>
      <c r="S98" s="4">
        <v>4</v>
      </c>
      <c r="T98" s="4">
        <v>4</v>
      </c>
      <c r="U98" s="4">
        <v>4</v>
      </c>
      <c r="V98" s="4">
        <v>4</v>
      </c>
      <c r="W98" s="4">
        <v>4</v>
      </c>
      <c r="X98" s="4">
        <v>4</v>
      </c>
      <c r="Y98" s="4">
        <v>4</v>
      </c>
      <c r="Z98" s="5">
        <v>0</v>
      </c>
    </row>
    <row r="99" spans="1:26" x14ac:dyDescent="0.35">
      <c r="A99" s="38"/>
      <c r="B99" s="27"/>
      <c r="C99" s="28" t="s">
        <v>206</v>
      </c>
      <c r="D99" s="29"/>
      <c r="E99" s="30" t="s">
        <v>17</v>
      </c>
      <c r="F99" s="31"/>
      <c r="G99" s="4">
        <v>2</v>
      </c>
      <c r="H99" s="4">
        <v>2</v>
      </c>
      <c r="I99" s="4">
        <v>2</v>
      </c>
      <c r="J99" s="4">
        <v>2</v>
      </c>
      <c r="K99" s="4">
        <v>2</v>
      </c>
      <c r="L99" s="4">
        <v>2</v>
      </c>
      <c r="M99" s="4">
        <v>2</v>
      </c>
      <c r="N99" s="4">
        <v>2</v>
      </c>
      <c r="O99" s="4">
        <v>2</v>
      </c>
      <c r="P99" s="4">
        <v>2</v>
      </c>
      <c r="Q99" s="4">
        <v>2</v>
      </c>
      <c r="R99" s="4">
        <v>2</v>
      </c>
      <c r="S99" s="4">
        <v>2</v>
      </c>
      <c r="T99" s="4">
        <v>2</v>
      </c>
      <c r="U99" s="4">
        <v>2</v>
      </c>
      <c r="V99" s="4">
        <v>2</v>
      </c>
      <c r="W99" s="4">
        <v>2</v>
      </c>
      <c r="X99" s="4">
        <v>2</v>
      </c>
      <c r="Y99" s="4">
        <v>2</v>
      </c>
      <c r="Z99" s="5">
        <v>0</v>
      </c>
    </row>
    <row r="100" spans="1:26" x14ac:dyDescent="0.35">
      <c r="A100" s="38"/>
      <c r="B100" s="27"/>
      <c r="C100" s="28" t="s">
        <v>207</v>
      </c>
      <c r="D100" s="29"/>
      <c r="E100" s="30" t="s">
        <v>94</v>
      </c>
      <c r="F100" s="31"/>
      <c r="G100" s="4">
        <v>2</v>
      </c>
      <c r="H100" s="4">
        <v>2</v>
      </c>
      <c r="I100" s="4">
        <v>2</v>
      </c>
      <c r="J100" s="4">
        <v>2</v>
      </c>
      <c r="K100" s="4">
        <v>2</v>
      </c>
      <c r="L100" s="4">
        <v>2</v>
      </c>
      <c r="M100" s="4">
        <v>2</v>
      </c>
      <c r="N100" s="4">
        <v>2</v>
      </c>
      <c r="O100" s="4">
        <v>2</v>
      </c>
      <c r="P100" s="4">
        <v>2</v>
      </c>
      <c r="Q100" s="4">
        <v>2</v>
      </c>
      <c r="R100" s="4">
        <v>2</v>
      </c>
      <c r="S100" s="4">
        <v>2</v>
      </c>
      <c r="T100" s="4">
        <v>2</v>
      </c>
      <c r="U100" s="4">
        <v>2</v>
      </c>
      <c r="V100" s="4">
        <v>2</v>
      </c>
      <c r="W100" s="4">
        <v>2</v>
      </c>
      <c r="X100" s="4">
        <v>2</v>
      </c>
      <c r="Y100" s="4">
        <v>2</v>
      </c>
      <c r="Z100" s="5">
        <v>0</v>
      </c>
    </row>
    <row r="101" spans="1:26" x14ac:dyDescent="0.35">
      <c r="A101" s="38"/>
      <c r="B101" s="27"/>
      <c r="C101" s="28" t="s">
        <v>208</v>
      </c>
      <c r="D101" s="29"/>
      <c r="E101" s="30" t="s">
        <v>96</v>
      </c>
      <c r="F101" s="31"/>
      <c r="G101" s="4">
        <v>2</v>
      </c>
      <c r="H101" s="4">
        <v>2</v>
      </c>
      <c r="I101" s="4">
        <v>2</v>
      </c>
      <c r="J101" s="4">
        <v>2</v>
      </c>
      <c r="K101" s="4">
        <v>2</v>
      </c>
      <c r="L101" s="4">
        <v>2</v>
      </c>
      <c r="M101" s="4">
        <v>2</v>
      </c>
      <c r="N101" s="4">
        <v>2</v>
      </c>
      <c r="O101" s="4">
        <v>2</v>
      </c>
      <c r="P101" s="4">
        <v>2</v>
      </c>
      <c r="Q101" s="4">
        <v>2</v>
      </c>
      <c r="R101" s="4">
        <v>2</v>
      </c>
      <c r="S101" s="4">
        <v>2</v>
      </c>
      <c r="T101" s="4">
        <v>2</v>
      </c>
      <c r="U101" s="4">
        <v>2</v>
      </c>
      <c r="V101" s="4">
        <v>2</v>
      </c>
      <c r="W101" s="4">
        <v>2</v>
      </c>
      <c r="X101" s="4">
        <v>2</v>
      </c>
      <c r="Y101" s="4">
        <v>2</v>
      </c>
      <c r="Z101" s="5">
        <v>0</v>
      </c>
    </row>
    <row r="102" spans="1:26" x14ac:dyDescent="0.35">
      <c r="A102" s="38"/>
      <c r="B102" s="27"/>
      <c r="C102" s="28" t="s">
        <v>209</v>
      </c>
      <c r="D102" s="29"/>
      <c r="E102" s="30" t="s">
        <v>95</v>
      </c>
      <c r="F102" s="31"/>
      <c r="G102" s="4">
        <v>2</v>
      </c>
      <c r="H102" s="4">
        <v>2</v>
      </c>
      <c r="I102" s="4">
        <v>2</v>
      </c>
      <c r="J102" s="4">
        <v>2</v>
      </c>
      <c r="K102" s="4">
        <v>2</v>
      </c>
      <c r="L102" s="4">
        <v>2</v>
      </c>
      <c r="M102" s="4">
        <v>2</v>
      </c>
      <c r="N102" s="4">
        <v>2</v>
      </c>
      <c r="O102" s="4">
        <v>2</v>
      </c>
      <c r="P102" s="4">
        <v>2</v>
      </c>
      <c r="Q102" s="4">
        <v>2</v>
      </c>
      <c r="R102" s="4">
        <v>2</v>
      </c>
      <c r="S102" s="4">
        <v>2</v>
      </c>
      <c r="T102" s="4">
        <v>2</v>
      </c>
      <c r="U102" s="4">
        <v>2</v>
      </c>
      <c r="V102" s="4">
        <v>2</v>
      </c>
      <c r="W102" s="4">
        <v>2</v>
      </c>
      <c r="X102" s="4">
        <v>2</v>
      </c>
      <c r="Y102" s="4">
        <v>2</v>
      </c>
      <c r="Z102" s="5">
        <v>0</v>
      </c>
    </row>
    <row r="103" spans="1:26" x14ac:dyDescent="0.35">
      <c r="A103" s="38"/>
      <c r="B103" s="43" t="s">
        <v>12</v>
      </c>
      <c r="C103" s="43"/>
      <c r="D103" s="43"/>
      <c r="E103" s="42" t="s">
        <v>11</v>
      </c>
      <c r="F103" s="42"/>
      <c r="G103" s="30">
        <f>SUM(G18:G102)</f>
        <v>360</v>
      </c>
      <c r="H103" s="31"/>
      <c r="I103" s="4">
        <f t="shared" ref="I103:Z103" si="0">SUM(I18:I102)</f>
        <v>348</v>
      </c>
      <c r="J103" s="4">
        <f t="shared" si="0"/>
        <v>336</v>
      </c>
      <c r="K103" s="4">
        <f t="shared" si="0"/>
        <v>317</v>
      </c>
      <c r="L103" s="4">
        <f t="shared" si="0"/>
        <v>288</v>
      </c>
      <c r="M103" s="4">
        <f t="shared" si="0"/>
        <v>266</v>
      </c>
      <c r="N103" s="4">
        <f t="shared" si="0"/>
        <v>234</v>
      </c>
      <c r="O103" s="4">
        <f t="shared" si="0"/>
        <v>211</v>
      </c>
      <c r="P103" s="4">
        <f t="shared" si="0"/>
        <v>185</v>
      </c>
      <c r="Q103" s="4">
        <f t="shared" si="0"/>
        <v>158</v>
      </c>
      <c r="R103" s="4">
        <f t="shared" si="0"/>
        <v>144</v>
      </c>
      <c r="S103" s="4">
        <f t="shared" si="0"/>
        <v>123</v>
      </c>
      <c r="T103" s="4">
        <f t="shared" si="0"/>
        <v>115</v>
      </c>
      <c r="U103" s="4">
        <f t="shared" si="0"/>
        <v>86</v>
      </c>
      <c r="V103" s="4">
        <f t="shared" si="0"/>
        <v>70</v>
      </c>
      <c r="W103" s="4">
        <f t="shared" si="0"/>
        <v>51</v>
      </c>
      <c r="X103" s="4">
        <f t="shared" si="0"/>
        <v>26</v>
      </c>
      <c r="Y103" s="4">
        <f t="shared" si="0"/>
        <v>12</v>
      </c>
      <c r="Z103" s="4">
        <f t="shared" si="0"/>
        <v>0</v>
      </c>
    </row>
    <row r="104" spans="1:26" x14ac:dyDescent="0.35">
      <c r="A104" s="39"/>
      <c r="B104" s="43"/>
      <c r="C104" s="43"/>
      <c r="D104" s="43"/>
      <c r="E104" s="42" t="s">
        <v>18</v>
      </c>
      <c r="F104" s="42"/>
      <c r="G104" s="30">
        <f>SUM(H18:H102)</f>
        <v>360</v>
      </c>
      <c r="H104" s="31"/>
      <c r="I104" s="4">
        <f t="shared" ref="I104:Z104" si="1">SUM(I18:I102)</f>
        <v>348</v>
      </c>
      <c r="J104" s="4">
        <f t="shared" si="1"/>
        <v>336</v>
      </c>
      <c r="K104" s="4">
        <f t="shared" si="1"/>
        <v>317</v>
      </c>
      <c r="L104" s="4">
        <f t="shared" si="1"/>
        <v>288</v>
      </c>
      <c r="M104" s="4">
        <f t="shared" si="1"/>
        <v>266</v>
      </c>
      <c r="N104" s="4">
        <f t="shared" si="1"/>
        <v>234</v>
      </c>
      <c r="O104" s="4">
        <f t="shared" si="1"/>
        <v>211</v>
      </c>
      <c r="P104" s="4">
        <f t="shared" si="1"/>
        <v>185</v>
      </c>
      <c r="Q104" s="4">
        <f t="shared" si="1"/>
        <v>158</v>
      </c>
      <c r="R104" s="4">
        <f t="shared" si="1"/>
        <v>144</v>
      </c>
      <c r="S104" s="4">
        <f t="shared" si="1"/>
        <v>123</v>
      </c>
      <c r="T104" s="4">
        <f t="shared" si="1"/>
        <v>115</v>
      </c>
      <c r="U104" s="4">
        <f t="shared" si="1"/>
        <v>86</v>
      </c>
      <c r="V104" s="4">
        <f t="shared" si="1"/>
        <v>70</v>
      </c>
      <c r="W104" s="4">
        <f t="shared" si="1"/>
        <v>51</v>
      </c>
      <c r="X104" s="4">
        <f t="shared" si="1"/>
        <v>26</v>
      </c>
      <c r="Y104" s="4">
        <f t="shared" si="1"/>
        <v>12</v>
      </c>
      <c r="Z104" s="4">
        <f t="shared" si="1"/>
        <v>0</v>
      </c>
    </row>
    <row r="106" spans="1:26" ht="30" customHeight="1" x14ac:dyDescent="0.5">
      <c r="A106" s="44" t="s">
        <v>89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55" customHeight="1" x14ac:dyDescent="0.35">
      <c r="A107" s="21" t="s">
        <v>7</v>
      </c>
      <c r="B107" s="21" t="s">
        <v>8</v>
      </c>
      <c r="C107" s="32" t="s">
        <v>9</v>
      </c>
      <c r="D107" s="32"/>
      <c r="E107" s="32" t="s">
        <v>10</v>
      </c>
      <c r="F107" s="32"/>
      <c r="G107" s="2" t="s">
        <v>11</v>
      </c>
      <c r="H107" s="2" t="s">
        <v>18</v>
      </c>
      <c r="I107" s="3">
        <v>46122</v>
      </c>
      <c r="J107" s="3">
        <v>46123</v>
      </c>
      <c r="K107" s="3">
        <v>46124</v>
      </c>
      <c r="L107" s="3">
        <v>46125</v>
      </c>
      <c r="M107" s="3">
        <v>46126</v>
      </c>
      <c r="N107" s="3">
        <v>46127</v>
      </c>
      <c r="O107" s="3">
        <v>46128</v>
      </c>
      <c r="P107" s="3">
        <v>46129</v>
      </c>
      <c r="Q107" s="3">
        <v>46130</v>
      </c>
      <c r="R107" s="3">
        <v>46131</v>
      </c>
      <c r="S107" s="3">
        <v>46132</v>
      </c>
      <c r="T107" s="3">
        <v>46133</v>
      </c>
      <c r="U107" s="3">
        <v>46134</v>
      </c>
      <c r="V107" s="3">
        <v>46135</v>
      </c>
      <c r="W107" s="3">
        <v>46136</v>
      </c>
      <c r="X107" s="3">
        <v>46137</v>
      </c>
      <c r="Y107" s="3">
        <v>46138</v>
      </c>
      <c r="Z107" s="3">
        <v>46139</v>
      </c>
    </row>
    <row r="108" spans="1:26" x14ac:dyDescent="0.35">
      <c r="A108" s="37" t="s">
        <v>216</v>
      </c>
      <c r="B108" s="37" t="s">
        <v>156</v>
      </c>
      <c r="C108" s="51" t="s">
        <v>91</v>
      </c>
      <c r="D108" s="52"/>
      <c r="E108" s="30" t="s">
        <v>17</v>
      </c>
      <c r="F108" s="31"/>
      <c r="G108" s="4">
        <v>4</v>
      </c>
      <c r="H108" s="4">
        <v>4</v>
      </c>
      <c r="I108" s="5">
        <v>0</v>
      </c>
      <c r="J108" s="18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</row>
    <row r="109" spans="1:26" x14ac:dyDescent="0.35">
      <c r="A109" s="27"/>
      <c r="B109" s="27"/>
      <c r="C109" s="53" t="s">
        <v>157</v>
      </c>
      <c r="D109" s="53"/>
      <c r="E109" s="30" t="s">
        <v>94</v>
      </c>
      <c r="F109" s="31"/>
      <c r="G109" s="4">
        <v>4</v>
      </c>
      <c r="H109" s="4">
        <v>4</v>
      </c>
      <c r="I109" s="5">
        <v>0</v>
      </c>
      <c r="J109" s="18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</row>
    <row r="110" spans="1:26" x14ac:dyDescent="0.35">
      <c r="A110" s="38"/>
      <c r="B110" s="39"/>
      <c r="C110" s="54" t="s">
        <v>158</v>
      </c>
      <c r="D110" s="55"/>
      <c r="E110" s="30" t="s">
        <v>96</v>
      </c>
      <c r="F110" s="31"/>
      <c r="G110" s="4">
        <v>4</v>
      </c>
      <c r="H110" s="4">
        <v>4</v>
      </c>
      <c r="I110" s="5">
        <v>0</v>
      </c>
      <c r="J110" s="18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</row>
    <row r="111" spans="1:26" x14ac:dyDescent="0.35">
      <c r="A111" s="38"/>
      <c r="B111" s="27" t="s">
        <v>13</v>
      </c>
      <c r="C111" s="28" t="s">
        <v>29</v>
      </c>
      <c r="D111" s="29"/>
      <c r="E111" s="30" t="s">
        <v>96</v>
      </c>
      <c r="F111" s="31"/>
      <c r="G111" s="4">
        <v>2</v>
      </c>
      <c r="H111" s="4">
        <v>4</v>
      </c>
      <c r="I111" s="4">
        <v>2</v>
      </c>
      <c r="J111" s="5">
        <v>0</v>
      </c>
      <c r="K111" s="18">
        <v>0</v>
      </c>
      <c r="L111" s="18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</row>
    <row r="112" spans="1:26" x14ac:dyDescent="0.35">
      <c r="A112" s="38"/>
      <c r="B112" s="27"/>
      <c r="C112" s="30"/>
      <c r="D112" s="31"/>
      <c r="E112" s="30"/>
      <c r="F112" s="31"/>
      <c r="G112" s="4"/>
      <c r="H112" s="4"/>
      <c r="I112" s="4"/>
      <c r="J112" s="6">
        <v>2</v>
      </c>
      <c r="K112" s="18"/>
      <c r="L112" s="18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35">
      <c r="A113" s="38"/>
      <c r="B113" s="27"/>
      <c r="C113" s="28" t="s">
        <v>159</v>
      </c>
      <c r="D113" s="29"/>
      <c r="E113" s="30" t="s">
        <v>95</v>
      </c>
      <c r="F113" s="31"/>
      <c r="G113" s="4">
        <v>2</v>
      </c>
      <c r="H113" s="4">
        <v>4</v>
      </c>
      <c r="I113" s="4">
        <v>2</v>
      </c>
      <c r="J113" s="4">
        <v>2</v>
      </c>
      <c r="K113" s="5">
        <v>0</v>
      </c>
      <c r="L113" s="18">
        <v>0</v>
      </c>
      <c r="M113" s="18">
        <v>0</v>
      </c>
      <c r="N113" s="18">
        <v>0</v>
      </c>
      <c r="O113" s="18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</row>
    <row r="114" spans="1:26" x14ac:dyDescent="0.35">
      <c r="A114" s="38"/>
      <c r="B114" s="27"/>
      <c r="C114" s="30"/>
      <c r="D114" s="31"/>
      <c r="E114" s="30"/>
      <c r="F114" s="31"/>
      <c r="G114" s="4"/>
      <c r="H114" s="4"/>
      <c r="I114" s="4"/>
      <c r="J114" s="4"/>
      <c r="K114" s="6">
        <v>2</v>
      </c>
      <c r="L114" s="18"/>
      <c r="M114" s="18"/>
      <c r="N114" s="18"/>
      <c r="O114" s="18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35">
      <c r="A115" s="38"/>
      <c r="B115" s="27"/>
      <c r="C115" s="28" t="s">
        <v>160</v>
      </c>
      <c r="D115" s="29"/>
      <c r="E115" s="30" t="s">
        <v>96</v>
      </c>
      <c r="F115" s="31"/>
      <c r="G115" s="4">
        <v>2</v>
      </c>
      <c r="H115" s="4">
        <v>4</v>
      </c>
      <c r="I115" s="4">
        <v>2</v>
      </c>
      <c r="J115" s="4">
        <v>2</v>
      </c>
      <c r="K115" s="4">
        <v>2</v>
      </c>
      <c r="L115" s="5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</row>
    <row r="116" spans="1:26" x14ac:dyDescent="0.35">
      <c r="A116" s="38"/>
      <c r="B116" s="27"/>
      <c r="C116" s="30"/>
      <c r="D116" s="31"/>
      <c r="E116" s="30"/>
      <c r="F116" s="31"/>
      <c r="G116" s="4"/>
      <c r="H116" s="4"/>
      <c r="I116" s="4"/>
      <c r="J116" s="4"/>
      <c r="K116" s="4"/>
      <c r="L116" s="6">
        <v>2</v>
      </c>
      <c r="M116" s="18"/>
      <c r="N116" s="18"/>
      <c r="O116" s="18"/>
      <c r="P116" s="18"/>
      <c r="Q116" s="18"/>
      <c r="R116" s="18"/>
      <c r="S116" s="4"/>
      <c r="T116" s="4"/>
      <c r="U116" s="4"/>
      <c r="V116" s="4"/>
      <c r="W116" s="4"/>
      <c r="X116" s="4"/>
      <c r="Y116" s="4"/>
      <c r="Z116" s="4"/>
    </row>
    <row r="117" spans="1:26" x14ac:dyDescent="0.35">
      <c r="A117" s="38"/>
      <c r="B117" s="27"/>
      <c r="C117" s="28" t="s">
        <v>27</v>
      </c>
      <c r="D117" s="29"/>
      <c r="E117" s="30" t="s">
        <v>95</v>
      </c>
      <c r="F117" s="31"/>
      <c r="G117" s="4">
        <v>4</v>
      </c>
      <c r="H117" s="4">
        <v>4</v>
      </c>
      <c r="I117" s="4">
        <v>4</v>
      </c>
      <c r="J117" s="4">
        <v>4</v>
      </c>
      <c r="K117" s="4">
        <v>4</v>
      </c>
      <c r="L117" s="4">
        <v>4</v>
      </c>
      <c r="M117" s="5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</row>
    <row r="118" spans="1:26" x14ac:dyDescent="0.35">
      <c r="A118" s="38"/>
      <c r="B118" s="27"/>
      <c r="C118" s="28" t="s">
        <v>28</v>
      </c>
      <c r="D118" s="29"/>
      <c r="E118" s="30" t="s">
        <v>96</v>
      </c>
      <c r="F118" s="31"/>
      <c r="G118" s="4">
        <v>3</v>
      </c>
      <c r="H118" s="4">
        <v>3</v>
      </c>
      <c r="I118" s="4">
        <v>3</v>
      </c>
      <c r="J118" s="4">
        <v>3</v>
      </c>
      <c r="K118" s="4">
        <v>3</v>
      </c>
      <c r="L118" s="4">
        <v>3</v>
      </c>
      <c r="M118" s="4">
        <v>3</v>
      </c>
      <c r="N118" s="5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</row>
    <row r="119" spans="1:26" x14ac:dyDescent="0.35">
      <c r="A119" s="38"/>
      <c r="B119" s="27"/>
      <c r="C119" s="28" t="s">
        <v>161</v>
      </c>
      <c r="D119" s="29"/>
      <c r="E119" s="30" t="s">
        <v>95</v>
      </c>
      <c r="F119" s="31"/>
      <c r="G119" s="4">
        <v>4</v>
      </c>
      <c r="H119" s="4">
        <v>4</v>
      </c>
      <c r="I119" s="4">
        <v>4</v>
      </c>
      <c r="J119" s="4">
        <v>4</v>
      </c>
      <c r="K119" s="4">
        <v>4</v>
      </c>
      <c r="L119" s="4">
        <v>4</v>
      </c>
      <c r="M119" s="4">
        <v>4</v>
      </c>
      <c r="N119" s="4">
        <v>4</v>
      </c>
      <c r="O119" s="5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</row>
    <row r="120" spans="1:26" x14ac:dyDescent="0.35">
      <c r="A120" s="38"/>
      <c r="B120" s="27"/>
      <c r="C120" s="28" t="s">
        <v>162</v>
      </c>
      <c r="D120" s="29"/>
      <c r="E120" s="30" t="s">
        <v>96</v>
      </c>
      <c r="F120" s="31"/>
      <c r="G120" s="4">
        <v>5</v>
      </c>
      <c r="H120" s="4">
        <v>5</v>
      </c>
      <c r="I120" s="4">
        <v>5</v>
      </c>
      <c r="J120" s="4">
        <v>5</v>
      </c>
      <c r="K120" s="4">
        <v>5</v>
      </c>
      <c r="L120" s="4">
        <v>5</v>
      </c>
      <c r="M120" s="4">
        <v>5</v>
      </c>
      <c r="N120" s="4">
        <v>5</v>
      </c>
      <c r="O120" s="4">
        <v>5</v>
      </c>
      <c r="P120" s="4">
        <v>5</v>
      </c>
      <c r="Q120" s="5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</row>
    <row r="121" spans="1:26" x14ac:dyDescent="0.35">
      <c r="A121" s="38"/>
      <c r="B121" s="27"/>
      <c r="C121" s="28" t="s">
        <v>32</v>
      </c>
      <c r="D121" s="29"/>
      <c r="E121" s="30" t="s">
        <v>95</v>
      </c>
      <c r="F121" s="31"/>
      <c r="G121" s="4">
        <v>4</v>
      </c>
      <c r="H121" s="4">
        <v>4</v>
      </c>
      <c r="I121" s="4">
        <v>4</v>
      </c>
      <c r="J121" s="4">
        <v>4</v>
      </c>
      <c r="K121" s="4">
        <v>4</v>
      </c>
      <c r="L121" s="4">
        <v>4</v>
      </c>
      <c r="M121" s="4">
        <v>4</v>
      </c>
      <c r="N121" s="4">
        <v>4</v>
      </c>
      <c r="O121" s="4">
        <v>4</v>
      </c>
      <c r="P121" s="4">
        <v>4</v>
      </c>
      <c r="Q121" s="4">
        <v>4</v>
      </c>
      <c r="R121" s="4">
        <v>4</v>
      </c>
      <c r="S121" s="5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</row>
    <row r="122" spans="1:26" x14ac:dyDescent="0.35">
      <c r="A122" s="38"/>
      <c r="B122" s="27"/>
      <c r="C122" s="28" t="s">
        <v>33</v>
      </c>
      <c r="D122" s="29"/>
      <c r="E122" s="30" t="s">
        <v>96</v>
      </c>
      <c r="F122" s="31"/>
      <c r="G122" s="4">
        <v>5</v>
      </c>
      <c r="H122" s="4">
        <v>5</v>
      </c>
      <c r="I122" s="4">
        <v>5</v>
      </c>
      <c r="J122" s="4">
        <v>5</v>
      </c>
      <c r="K122" s="4">
        <v>5</v>
      </c>
      <c r="L122" s="4">
        <v>5</v>
      </c>
      <c r="M122" s="4">
        <v>5</v>
      </c>
      <c r="N122" s="4">
        <v>5</v>
      </c>
      <c r="O122" s="4">
        <v>5</v>
      </c>
      <c r="P122" s="4">
        <v>5</v>
      </c>
      <c r="Q122" s="4">
        <v>5</v>
      </c>
      <c r="R122" s="4">
        <v>5</v>
      </c>
      <c r="S122" s="4">
        <v>5</v>
      </c>
      <c r="T122" s="4">
        <v>5</v>
      </c>
      <c r="U122" s="5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</row>
    <row r="123" spans="1:26" x14ac:dyDescent="0.35">
      <c r="A123" s="38"/>
      <c r="B123" s="27"/>
      <c r="C123" s="28" t="s">
        <v>163</v>
      </c>
      <c r="D123" s="29"/>
      <c r="E123" s="30" t="s">
        <v>95</v>
      </c>
      <c r="F123" s="31"/>
      <c r="G123" s="4">
        <v>3</v>
      </c>
      <c r="H123" s="4">
        <v>3</v>
      </c>
      <c r="I123" s="4">
        <v>3</v>
      </c>
      <c r="J123" s="4">
        <v>3</v>
      </c>
      <c r="K123" s="4">
        <v>3</v>
      </c>
      <c r="L123" s="4">
        <v>3</v>
      </c>
      <c r="M123" s="4">
        <v>3</v>
      </c>
      <c r="N123" s="4">
        <v>3</v>
      </c>
      <c r="O123" s="4">
        <v>3</v>
      </c>
      <c r="P123" s="4">
        <v>3</v>
      </c>
      <c r="Q123" s="4">
        <v>3</v>
      </c>
      <c r="R123" s="4">
        <v>3</v>
      </c>
      <c r="S123" s="4">
        <v>3</v>
      </c>
      <c r="T123" s="4">
        <v>3</v>
      </c>
      <c r="U123" s="4">
        <v>3</v>
      </c>
      <c r="V123" s="4">
        <v>3</v>
      </c>
      <c r="W123" s="5">
        <v>0</v>
      </c>
      <c r="X123" s="4">
        <v>0</v>
      </c>
      <c r="Y123" s="4">
        <v>0</v>
      </c>
      <c r="Z123" s="4">
        <v>0</v>
      </c>
    </row>
    <row r="124" spans="1:26" x14ac:dyDescent="0.35">
      <c r="A124" s="38"/>
      <c r="B124" s="37"/>
      <c r="C124" s="51" t="s">
        <v>164</v>
      </c>
      <c r="D124" s="52"/>
      <c r="E124" s="30" t="s">
        <v>96</v>
      </c>
      <c r="F124" s="31"/>
      <c r="G124" s="4">
        <v>3</v>
      </c>
      <c r="H124" s="4">
        <v>3</v>
      </c>
      <c r="I124" s="4">
        <v>3</v>
      </c>
      <c r="J124" s="4">
        <v>3</v>
      </c>
      <c r="K124" s="4">
        <v>3</v>
      </c>
      <c r="L124" s="4">
        <v>3</v>
      </c>
      <c r="M124" s="4">
        <v>3</v>
      </c>
      <c r="N124" s="4">
        <v>3</v>
      </c>
      <c r="O124" s="4">
        <v>3</v>
      </c>
      <c r="P124" s="4">
        <v>3</v>
      </c>
      <c r="Q124" s="4">
        <v>3</v>
      </c>
      <c r="R124" s="4">
        <v>3</v>
      </c>
      <c r="S124" s="4">
        <v>3</v>
      </c>
      <c r="T124" s="4">
        <v>3</v>
      </c>
      <c r="U124" s="4">
        <v>3</v>
      </c>
      <c r="V124" s="4">
        <v>3</v>
      </c>
      <c r="W124" s="4">
        <v>3</v>
      </c>
      <c r="X124" s="5">
        <v>0</v>
      </c>
      <c r="Y124" s="4">
        <v>0</v>
      </c>
      <c r="Z124" s="4">
        <v>0</v>
      </c>
    </row>
    <row r="125" spans="1:26" x14ac:dyDescent="0.35">
      <c r="A125" s="27"/>
      <c r="B125" s="27" t="s">
        <v>14</v>
      </c>
      <c r="C125" s="53" t="s">
        <v>78</v>
      </c>
      <c r="D125" s="53"/>
      <c r="E125" s="30" t="s">
        <v>94</v>
      </c>
      <c r="F125" s="31"/>
      <c r="G125" s="4">
        <v>8</v>
      </c>
      <c r="H125" s="4">
        <v>8</v>
      </c>
      <c r="I125" s="4">
        <v>8</v>
      </c>
      <c r="J125" s="5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</row>
    <row r="126" spans="1:26" x14ac:dyDescent="0.35">
      <c r="A126" s="38"/>
      <c r="B126" s="38"/>
      <c r="C126" s="53" t="s">
        <v>165</v>
      </c>
      <c r="D126" s="53"/>
      <c r="E126" s="30" t="s">
        <v>103</v>
      </c>
      <c r="F126" s="31"/>
      <c r="G126" s="4">
        <v>4</v>
      </c>
      <c r="H126" s="4">
        <v>7</v>
      </c>
      <c r="I126" s="4">
        <v>4</v>
      </c>
      <c r="J126" s="4">
        <v>4</v>
      </c>
      <c r="K126" s="5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</row>
    <row r="127" spans="1:26" x14ac:dyDescent="0.35">
      <c r="A127" s="38"/>
      <c r="B127" s="38"/>
      <c r="C127" s="58"/>
      <c r="D127" s="59"/>
      <c r="E127" s="30"/>
      <c r="F127" s="31"/>
      <c r="G127" s="4"/>
      <c r="H127" s="4"/>
      <c r="I127" s="4"/>
      <c r="J127" s="4"/>
      <c r="K127" s="6">
        <v>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35">
      <c r="A128" s="27"/>
      <c r="B128" s="27"/>
      <c r="C128" s="53" t="s">
        <v>166</v>
      </c>
      <c r="D128" s="53"/>
      <c r="E128" s="30" t="s">
        <v>94</v>
      </c>
      <c r="F128" s="31"/>
      <c r="G128" s="4">
        <v>8</v>
      </c>
      <c r="H128" s="4">
        <v>8</v>
      </c>
      <c r="I128" s="4">
        <v>8</v>
      </c>
      <c r="J128" s="4">
        <v>8</v>
      </c>
      <c r="K128" s="5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</row>
    <row r="129" spans="1:26" x14ac:dyDescent="0.35">
      <c r="A129" s="38"/>
      <c r="B129" s="38"/>
      <c r="C129" s="53" t="s">
        <v>167</v>
      </c>
      <c r="D129" s="53"/>
      <c r="E129" s="30" t="s">
        <v>104</v>
      </c>
      <c r="F129" s="31"/>
      <c r="G129" s="4">
        <v>4</v>
      </c>
      <c r="H129" s="4">
        <v>7</v>
      </c>
      <c r="I129" s="4">
        <v>4</v>
      </c>
      <c r="J129" s="4">
        <v>4</v>
      </c>
      <c r="K129" s="4">
        <v>4</v>
      </c>
      <c r="L129" s="5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</row>
    <row r="130" spans="1:26" x14ac:dyDescent="0.35">
      <c r="A130" s="38"/>
      <c r="B130" s="38"/>
      <c r="C130" s="58"/>
      <c r="D130" s="59"/>
      <c r="E130" s="30"/>
      <c r="F130" s="31"/>
      <c r="G130" s="4"/>
      <c r="H130" s="4"/>
      <c r="I130" s="4"/>
      <c r="J130" s="4"/>
      <c r="K130" s="4"/>
      <c r="L130" s="6">
        <v>3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35">
      <c r="A131" s="27"/>
      <c r="B131" s="27"/>
      <c r="C131" s="53" t="s">
        <v>168</v>
      </c>
      <c r="D131" s="53"/>
      <c r="E131" s="30" t="s">
        <v>94</v>
      </c>
      <c r="F131" s="31"/>
      <c r="G131" s="4">
        <v>7</v>
      </c>
      <c r="H131" s="4">
        <v>7</v>
      </c>
      <c r="I131" s="4">
        <v>7</v>
      </c>
      <c r="J131" s="4">
        <v>7</v>
      </c>
      <c r="K131" s="4">
        <v>7</v>
      </c>
      <c r="L131" s="5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</row>
    <row r="132" spans="1:26" x14ac:dyDescent="0.35">
      <c r="A132" s="38"/>
      <c r="B132" s="38"/>
      <c r="C132" s="53" t="s">
        <v>169</v>
      </c>
      <c r="D132" s="53"/>
      <c r="E132" s="30" t="s">
        <v>103</v>
      </c>
      <c r="F132" s="31"/>
      <c r="G132" s="4">
        <v>4</v>
      </c>
      <c r="H132" s="4">
        <v>7</v>
      </c>
      <c r="I132" s="4">
        <v>4</v>
      </c>
      <c r="J132" s="4">
        <v>4</v>
      </c>
      <c r="K132" s="4">
        <v>4</v>
      </c>
      <c r="L132" s="5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</row>
    <row r="133" spans="1:26" x14ac:dyDescent="0.35">
      <c r="A133" s="38"/>
      <c r="B133" s="38"/>
      <c r="C133" s="58"/>
      <c r="D133" s="59"/>
      <c r="E133" s="30"/>
      <c r="F133" s="31"/>
      <c r="G133" s="4"/>
      <c r="H133" s="4"/>
      <c r="I133" s="4"/>
      <c r="J133" s="4"/>
      <c r="K133" s="4"/>
      <c r="L133" s="6">
        <v>3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35">
      <c r="A134" s="27"/>
      <c r="B134" s="27"/>
      <c r="C134" s="53" t="s">
        <v>76</v>
      </c>
      <c r="D134" s="53"/>
      <c r="E134" s="30" t="s">
        <v>94</v>
      </c>
      <c r="F134" s="31"/>
      <c r="G134" s="4">
        <v>8</v>
      </c>
      <c r="H134" s="4">
        <v>8</v>
      </c>
      <c r="I134" s="4">
        <v>8</v>
      </c>
      <c r="J134" s="4">
        <v>8</v>
      </c>
      <c r="K134" s="4">
        <v>8</v>
      </c>
      <c r="L134" s="4">
        <v>8</v>
      </c>
      <c r="M134" s="4">
        <v>2</v>
      </c>
      <c r="N134" s="5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</row>
    <row r="135" spans="1:26" x14ac:dyDescent="0.35">
      <c r="A135" s="38"/>
      <c r="B135" s="38"/>
      <c r="C135" s="56" t="s">
        <v>170</v>
      </c>
      <c r="D135" s="57"/>
      <c r="E135" s="30" t="s">
        <v>104</v>
      </c>
      <c r="F135" s="31"/>
      <c r="G135" s="4">
        <v>7</v>
      </c>
      <c r="H135" s="4">
        <v>7</v>
      </c>
      <c r="I135" s="4">
        <v>7</v>
      </c>
      <c r="J135" s="4">
        <v>7</v>
      </c>
      <c r="K135" s="4">
        <v>7</v>
      </c>
      <c r="L135" s="4">
        <v>7</v>
      </c>
      <c r="M135" s="4">
        <v>7</v>
      </c>
      <c r="N135" s="4">
        <v>1</v>
      </c>
      <c r="O135" s="5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</row>
    <row r="136" spans="1:26" x14ac:dyDescent="0.35">
      <c r="A136" s="27"/>
      <c r="B136" s="27"/>
      <c r="C136" s="53" t="s">
        <v>77</v>
      </c>
      <c r="D136" s="53"/>
      <c r="E136" s="30" t="s">
        <v>94</v>
      </c>
      <c r="F136" s="31"/>
      <c r="G136" s="4">
        <v>5</v>
      </c>
      <c r="H136" s="4">
        <v>5</v>
      </c>
      <c r="I136" s="4">
        <v>5</v>
      </c>
      <c r="J136" s="4">
        <v>5</v>
      </c>
      <c r="K136" s="4">
        <v>5</v>
      </c>
      <c r="L136" s="4">
        <v>5</v>
      </c>
      <c r="M136" s="4">
        <v>5</v>
      </c>
      <c r="N136" s="4">
        <v>5</v>
      </c>
      <c r="O136" s="5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</row>
    <row r="137" spans="1:26" x14ac:dyDescent="0.35">
      <c r="A137" s="38"/>
      <c r="B137" s="38"/>
      <c r="C137" s="53" t="s">
        <v>171</v>
      </c>
      <c r="D137" s="53"/>
      <c r="E137" s="30" t="s">
        <v>103</v>
      </c>
      <c r="F137" s="31"/>
      <c r="G137" s="4">
        <v>7</v>
      </c>
      <c r="H137" s="4">
        <v>5</v>
      </c>
      <c r="I137" s="4">
        <v>7</v>
      </c>
      <c r="J137" s="4">
        <v>7</v>
      </c>
      <c r="K137" s="4">
        <v>7</v>
      </c>
      <c r="L137" s="4">
        <v>7</v>
      </c>
      <c r="M137" s="4">
        <v>7</v>
      </c>
      <c r="N137" s="5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</row>
    <row r="138" spans="1:26" x14ac:dyDescent="0.35">
      <c r="A138" s="38"/>
      <c r="B138" s="38"/>
      <c r="C138" s="58"/>
      <c r="D138" s="59"/>
      <c r="E138" s="30"/>
      <c r="F138" s="31"/>
      <c r="G138" s="4"/>
      <c r="H138" s="4"/>
      <c r="I138" s="4"/>
      <c r="J138" s="4"/>
      <c r="K138" s="4"/>
      <c r="L138" s="4"/>
      <c r="M138" s="4"/>
      <c r="N138" s="7">
        <v>2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35">
      <c r="A139" s="27"/>
      <c r="B139" s="27"/>
      <c r="C139" s="53" t="s">
        <v>172</v>
      </c>
      <c r="D139" s="53"/>
      <c r="E139" s="30" t="s">
        <v>94</v>
      </c>
      <c r="F139" s="31"/>
      <c r="G139" s="4">
        <v>7</v>
      </c>
      <c r="H139" s="4">
        <v>9</v>
      </c>
      <c r="I139" s="4">
        <v>7</v>
      </c>
      <c r="J139" s="4">
        <v>7</v>
      </c>
      <c r="K139" s="4">
        <v>7</v>
      </c>
      <c r="L139" s="4">
        <v>7</v>
      </c>
      <c r="M139" s="4">
        <v>7</v>
      </c>
      <c r="N139" s="4">
        <v>7</v>
      </c>
      <c r="O139" s="4">
        <v>3</v>
      </c>
      <c r="P139" s="5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</row>
    <row r="140" spans="1:26" x14ac:dyDescent="0.35">
      <c r="A140" s="38"/>
      <c r="B140" s="38"/>
      <c r="C140" s="30"/>
      <c r="D140" s="31"/>
      <c r="E140" s="30"/>
      <c r="F140" s="31"/>
      <c r="G140" s="4"/>
      <c r="H140" s="4"/>
      <c r="I140" s="4"/>
      <c r="J140" s="4"/>
      <c r="K140" s="4"/>
      <c r="L140" s="4"/>
      <c r="M140" s="4"/>
      <c r="N140" s="4"/>
      <c r="O140" s="4"/>
      <c r="P140" s="6">
        <v>2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35">
      <c r="A141" s="38"/>
      <c r="B141" s="38"/>
      <c r="C141" s="53" t="s">
        <v>173</v>
      </c>
      <c r="D141" s="53"/>
      <c r="E141" s="30" t="s">
        <v>104</v>
      </c>
      <c r="F141" s="31"/>
      <c r="G141" s="4">
        <v>7</v>
      </c>
      <c r="H141" s="4">
        <v>7</v>
      </c>
      <c r="I141" s="4">
        <v>7</v>
      </c>
      <c r="J141" s="4">
        <v>7</v>
      </c>
      <c r="K141" s="4">
        <v>7</v>
      </c>
      <c r="L141" s="4">
        <v>7</v>
      </c>
      <c r="M141" s="4">
        <v>7</v>
      </c>
      <c r="N141" s="4">
        <v>7</v>
      </c>
      <c r="O141" s="4">
        <v>7</v>
      </c>
      <c r="P141" s="4">
        <v>1</v>
      </c>
      <c r="Q141" s="5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</row>
    <row r="142" spans="1:26" x14ac:dyDescent="0.35">
      <c r="A142" s="27"/>
      <c r="B142" s="27"/>
      <c r="C142" s="53" t="s">
        <v>174</v>
      </c>
      <c r="D142" s="53"/>
      <c r="E142" s="30" t="s">
        <v>94</v>
      </c>
      <c r="F142" s="31"/>
      <c r="G142" s="4">
        <v>20</v>
      </c>
      <c r="H142" s="4">
        <v>18</v>
      </c>
      <c r="I142" s="4">
        <v>20</v>
      </c>
      <c r="J142" s="4">
        <v>20</v>
      </c>
      <c r="K142" s="4">
        <v>20</v>
      </c>
      <c r="L142" s="4">
        <v>20</v>
      </c>
      <c r="M142" s="4">
        <v>20</v>
      </c>
      <c r="N142" s="4">
        <v>20</v>
      </c>
      <c r="O142" s="4">
        <v>20</v>
      </c>
      <c r="P142" s="4">
        <v>20</v>
      </c>
      <c r="Q142" s="4">
        <v>11</v>
      </c>
      <c r="R142" s="4">
        <v>5</v>
      </c>
      <c r="S142" s="5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</row>
    <row r="143" spans="1:26" x14ac:dyDescent="0.35">
      <c r="A143" s="38"/>
      <c r="B143" s="38"/>
      <c r="C143" s="60"/>
      <c r="D143" s="61"/>
      <c r="E143" s="30"/>
      <c r="F143" s="3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7">
        <v>2</v>
      </c>
      <c r="T143" s="4"/>
      <c r="U143" s="4"/>
      <c r="V143" s="4"/>
      <c r="W143" s="4"/>
      <c r="X143" s="4"/>
      <c r="Y143" s="4"/>
      <c r="Z143" s="4"/>
    </row>
    <row r="144" spans="1:26" x14ac:dyDescent="0.35">
      <c r="A144" s="38"/>
      <c r="B144" s="38"/>
      <c r="C144" s="53" t="s">
        <v>175</v>
      </c>
      <c r="D144" s="53"/>
      <c r="E144" s="30" t="s">
        <v>103</v>
      </c>
      <c r="F144" s="31"/>
      <c r="G144" s="4">
        <v>8</v>
      </c>
      <c r="H144" s="4">
        <v>8</v>
      </c>
      <c r="I144" s="4">
        <v>8</v>
      </c>
      <c r="J144" s="4">
        <v>8</v>
      </c>
      <c r="K144" s="4">
        <v>8</v>
      </c>
      <c r="L144" s="4">
        <v>8</v>
      </c>
      <c r="M144" s="4">
        <v>8</v>
      </c>
      <c r="N144" s="4">
        <v>8</v>
      </c>
      <c r="O144" s="4">
        <v>8</v>
      </c>
      <c r="P144" s="4">
        <v>8</v>
      </c>
      <c r="Q144" s="5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</row>
    <row r="145" spans="1:26" x14ac:dyDescent="0.35">
      <c r="A145" s="27"/>
      <c r="B145" s="27"/>
      <c r="C145" s="53" t="s">
        <v>81</v>
      </c>
      <c r="D145" s="53"/>
      <c r="E145" s="30" t="s">
        <v>94</v>
      </c>
      <c r="F145" s="31"/>
      <c r="G145" s="4">
        <v>9</v>
      </c>
      <c r="H145" s="4">
        <v>9</v>
      </c>
      <c r="I145" s="4">
        <v>9</v>
      </c>
      <c r="J145" s="4">
        <v>9</v>
      </c>
      <c r="K145" s="4">
        <v>9</v>
      </c>
      <c r="L145" s="4">
        <v>9</v>
      </c>
      <c r="M145" s="4">
        <v>9</v>
      </c>
      <c r="N145" s="4">
        <v>9</v>
      </c>
      <c r="O145" s="4">
        <v>9</v>
      </c>
      <c r="P145" s="4">
        <v>9</v>
      </c>
      <c r="Q145" s="4">
        <v>9</v>
      </c>
      <c r="R145" s="4">
        <v>9</v>
      </c>
      <c r="S145" s="4">
        <v>6</v>
      </c>
      <c r="T145" s="5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</row>
    <row r="146" spans="1:26" x14ac:dyDescent="0.35">
      <c r="A146" s="38"/>
      <c r="B146" s="38"/>
      <c r="C146" s="56" t="s">
        <v>176</v>
      </c>
      <c r="D146" s="57"/>
      <c r="E146" s="30" t="s">
        <v>104</v>
      </c>
      <c r="F146" s="31"/>
      <c r="G146" s="4">
        <v>8</v>
      </c>
      <c r="H146" s="4">
        <v>8</v>
      </c>
      <c r="I146" s="4">
        <v>8</v>
      </c>
      <c r="J146" s="4">
        <v>8</v>
      </c>
      <c r="K146" s="4">
        <v>8</v>
      </c>
      <c r="L146" s="4">
        <v>8</v>
      </c>
      <c r="M146" s="4">
        <v>8</v>
      </c>
      <c r="N146" s="4">
        <v>8</v>
      </c>
      <c r="O146" s="4">
        <v>8</v>
      </c>
      <c r="P146" s="4">
        <v>8</v>
      </c>
      <c r="Q146" s="4">
        <v>8</v>
      </c>
      <c r="R146" s="4">
        <v>8</v>
      </c>
      <c r="S146" s="5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</row>
    <row r="147" spans="1:26" x14ac:dyDescent="0.35">
      <c r="A147" s="27"/>
      <c r="B147" s="27"/>
      <c r="C147" s="53" t="s">
        <v>82</v>
      </c>
      <c r="D147" s="53"/>
      <c r="E147" s="30" t="s">
        <v>94</v>
      </c>
      <c r="F147" s="31"/>
      <c r="G147" s="4">
        <v>12</v>
      </c>
      <c r="H147" s="4">
        <v>10</v>
      </c>
      <c r="I147" s="4">
        <v>12</v>
      </c>
      <c r="J147" s="4">
        <v>12</v>
      </c>
      <c r="K147" s="4">
        <v>12</v>
      </c>
      <c r="L147" s="4">
        <v>12</v>
      </c>
      <c r="M147" s="4">
        <v>12</v>
      </c>
      <c r="N147" s="4">
        <v>12</v>
      </c>
      <c r="O147" s="4">
        <v>12</v>
      </c>
      <c r="P147" s="4">
        <v>12</v>
      </c>
      <c r="Q147" s="4">
        <v>12</v>
      </c>
      <c r="R147" s="4">
        <v>12</v>
      </c>
      <c r="S147" s="4">
        <v>12</v>
      </c>
      <c r="T147" s="4">
        <v>6</v>
      </c>
      <c r="U147" s="4">
        <v>6</v>
      </c>
      <c r="V147" s="5">
        <v>0</v>
      </c>
      <c r="W147" s="4">
        <v>0</v>
      </c>
      <c r="X147" s="4">
        <v>0</v>
      </c>
      <c r="Y147" s="4">
        <v>0</v>
      </c>
      <c r="Z147" s="4">
        <v>0</v>
      </c>
    </row>
    <row r="148" spans="1:26" x14ac:dyDescent="0.35">
      <c r="A148" s="38"/>
      <c r="B148" s="38"/>
      <c r="C148" s="30"/>
      <c r="D148" s="31"/>
      <c r="E148" s="30"/>
      <c r="F148" s="3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7">
        <v>2</v>
      </c>
      <c r="W148" s="4"/>
      <c r="X148" s="4"/>
      <c r="Y148" s="4"/>
      <c r="Z148" s="4"/>
    </row>
    <row r="149" spans="1:26" x14ac:dyDescent="0.35">
      <c r="A149" s="38"/>
      <c r="B149" s="38"/>
      <c r="C149" s="53" t="s">
        <v>177</v>
      </c>
      <c r="D149" s="53"/>
      <c r="E149" s="30" t="s">
        <v>103</v>
      </c>
      <c r="F149" s="31"/>
      <c r="G149" s="4">
        <v>8</v>
      </c>
      <c r="H149" s="4">
        <v>8</v>
      </c>
      <c r="I149" s="4">
        <v>8</v>
      </c>
      <c r="J149" s="4">
        <v>8</v>
      </c>
      <c r="K149" s="4">
        <v>8</v>
      </c>
      <c r="L149" s="4">
        <v>8</v>
      </c>
      <c r="M149" s="4">
        <v>8</v>
      </c>
      <c r="N149" s="4">
        <v>8</v>
      </c>
      <c r="O149" s="4">
        <v>8</v>
      </c>
      <c r="P149" s="4">
        <v>8</v>
      </c>
      <c r="Q149" s="4">
        <v>8</v>
      </c>
      <c r="R149" s="4">
        <v>8</v>
      </c>
      <c r="S149" s="4">
        <v>8</v>
      </c>
      <c r="T149" s="4">
        <v>8</v>
      </c>
      <c r="U149" s="4">
        <v>2</v>
      </c>
      <c r="V149" s="5">
        <v>0</v>
      </c>
      <c r="W149" s="4">
        <v>0</v>
      </c>
      <c r="X149" s="4">
        <v>0</v>
      </c>
      <c r="Y149" s="4">
        <v>0</v>
      </c>
      <c r="Z149" s="4">
        <v>0</v>
      </c>
    </row>
    <row r="150" spans="1:26" x14ac:dyDescent="0.35">
      <c r="A150" s="27"/>
      <c r="B150" s="27"/>
      <c r="C150" s="53" t="s">
        <v>178</v>
      </c>
      <c r="D150" s="53"/>
      <c r="E150" s="30" t="s">
        <v>94</v>
      </c>
      <c r="F150" s="31"/>
      <c r="G150" s="4">
        <v>6</v>
      </c>
      <c r="H150" s="4">
        <v>6</v>
      </c>
      <c r="I150" s="4">
        <v>6</v>
      </c>
      <c r="J150" s="4">
        <v>6</v>
      </c>
      <c r="K150" s="4">
        <v>6</v>
      </c>
      <c r="L150" s="4">
        <v>6</v>
      </c>
      <c r="M150" s="4">
        <v>6</v>
      </c>
      <c r="N150" s="4">
        <v>6</v>
      </c>
      <c r="O150" s="4">
        <v>6</v>
      </c>
      <c r="P150" s="4">
        <v>6</v>
      </c>
      <c r="Q150" s="4">
        <v>6</v>
      </c>
      <c r="R150" s="4">
        <v>6</v>
      </c>
      <c r="S150" s="4">
        <v>6</v>
      </c>
      <c r="T150" s="4">
        <v>6</v>
      </c>
      <c r="U150" s="4">
        <v>6</v>
      </c>
      <c r="V150" s="4">
        <v>6</v>
      </c>
      <c r="W150" s="5">
        <v>0</v>
      </c>
      <c r="X150" s="4">
        <v>0</v>
      </c>
      <c r="Y150" s="4">
        <v>0</v>
      </c>
      <c r="Z150" s="4">
        <v>0</v>
      </c>
    </row>
    <row r="151" spans="1:26" x14ac:dyDescent="0.35">
      <c r="A151" s="38"/>
      <c r="B151" s="38"/>
      <c r="C151" s="56" t="s">
        <v>179</v>
      </c>
      <c r="D151" s="57"/>
      <c r="E151" s="30" t="s">
        <v>104</v>
      </c>
      <c r="F151" s="31"/>
      <c r="G151" s="4">
        <v>5</v>
      </c>
      <c r="H151" s="4">
        <v>5</v>
      </c>
      <c r="I151" s="4">
        <v>5</v>
      </c>
      <c r="J151" s="4">
        <v>5</v>
      </c>
      <c r="K151" s="4">
        <v>5</v>
      </c>
      <c r="L151" s="4">
        <v>5</v>
      </c>
      <c r="M151" s="4">
        <v>5</v>
      </c>
      <c r="N151" s="4">
        <v>5</v>
      </c>
      <c r="O151" s="4">
        <v>5</v>
      </c>
      <c r="P151" s="4">
        <v>5</v>
      </c>
      <c r="Q151" s="4">
        <v>5</v>
      </c>
      <c r="R151" s="4">
        <v>5</v>
      </c>
      <c r="S151" s="4">
        <v>5</v>
      </c>
      <c r="T151" s="4">
        <v>5</v>
      </c>
      <c r="U151" s="4">
        <v>5</v>
      </c>
      <c r="V151" s="4">
        <v>5</v>
      </c>
      <c r="W151" s="5">
        <v>0</v>
      </c>
      <c r="X151" s="4">
        <v>0</v>
      </c>
      <c r="Y151" s="4">
        <v>0</v>
      </c>
      <c r="Z151" s="4">
        <v>0</v>
      </c>
    </row>
    <row r="152" spans="1:26" x14ac:dyDescent="0.35">
      <c r="A152" s="27"/>
      <c r="B152" s="27"/>
      <c r="C152" s="53" t="s">
        <v>180</v>
      </c>
      <c r="D152" s="53"/>
      <c r="E152" s="30" t="s">
        <v>94</v>
      </c>
      <c r="F152" s="31"/>
      <c r="G152" s="4">
        <v>6</v>
      </c>
      <c r="H152" s="4">
        <v>6</v>
      </c>
      <c r="I152" s="4">
        <v>6</v>
      </c>
      <c r="J152" s="4">
        <v>6</v>
      </c>
      <c r="K152" s="4">
        <v>6</v>
      </c>
      <c r="L152" s="4">
        <v>6</v>
      </c>
      <c r="M152" s="4">
        <v>6</v>
      </c>
      <c r="N152" s="4">
        <v>6</v>
      </c>
      <c r="O152" s="4">
        <v>6</v>
      </c>
      <c r="P152" s="4">
        <v>6</v>
      </c>
      <c r="Q152" s="4">
        <v>6</v>
      </c>
      <c r="R152" s="4">
        <v>6</v>
      </c>
      <c r="S152" s="4">
        <v>6</v>
      </c>
      <c r="T152" s="4">
        <v>6</v>
      </c>
      <c r="U152" s="4">
        <v>6</v>
      </c>
      <c r="V152" s="4">
        <v>6</v>
      </c>
      <c r="W152" s="4">
        <v>6</v>
      </c>
      <c r="X152" s="4">
        <v>1</v>
      </c>
      <c r="Y152" s="5">
        <v>0</v>
      </c>
      <c r="Z152" s="4">
        <v>0</v>
      </c>
    </row>
    <row r="153" spans="1:26" x14ac:dyDescent="0.35">
      <c r="A153" s="38"/>
      <c r="B153" s="39"/>
      <c r="C153" s="54" t="s">
        <v>181</v>
      </c>
      <c r="D153" s="55"/>
      <c r="E153" s="30" t="s">
        <v>103</v>
      </c>
      <c r="F153" s="31"/>
      <c r="G153" s="4">
        <v>5</v>
      </c>
      <c r="H153" s="4">
        <v>5</v>
      </c>
      <c r="I153" s="4">
        <v>5</v>
      </c>
      <c r="J153" s="4">
        <v>5</v>
      </c>
      <c r="K153" s="4">
        <v>5</v>
      </c>
      <c r="L153" s="4">
        <v>5</v>
      </c>
      <c r="M153" s="4">
        <v>5</v>
      </c>
      <c r="N153" s="4">
        <v>5</v>
      </c>
      <c r="O153" s="4">
        <v>5</v>
      </c>
      <c r="P153" s="4">
        <v>5</v>
      </c>
      <c r="Q153" s="4">
        <v>5</v>
      </c>
      <c r="R153" s="4">
        <v>5</v>
      </c>
      <c r="S153" s="4">
        <v>5</v>
      </c>
      <c r="T153" s="4">
        <v>5</v>
      </c>
      <c r="U153" s="4">
        <v>5</v>
      </c>
      <c r="V153" s="4">
        <v>5</v>
      </c>
      <c r="W153" s="4">
        <v>5</v>
      </c>
      <c r="X153" s="5">
        <v>0</v>
      </c>
      <c r="Y153" s="4">
        <v>0</v>
      </c>
      <c r="Z153" s="4">
        <v>0</v>
      </c>
    </row>
    <row r="154" spans="1:26" x14ac:dyDescent="0.35">
      <c r="A154" s="38"/>
      <c r="B154" s="27" t="s">
        <v>15</v>
      </c>
      <c r="C154" s="28" t="s">
        <v>44</v>
      </c>
      <c r="D154" s="29"/>
      <c r="E154" s="30" t="s">
        <v>96</v>
      </c>
      <c r="F154" s="31"/>
      <c r="G154" s="4">
        <v>3</v>
      </c>
      <c r="H154" s="4">
        <v>4</v>
      </c>
      <c r="I154" s="4">
        <v>3</v>
      </c>
      <c r="J154" s="4">
        <v>3</v>
      </c>
      <c r="K154" s="4">
        <v>3</v>
      </c>
      <c r="L154" s="5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</row>
    <row r="155" spans="1:26" x14ac:dyDescent="0.35">
      <c r="A155" s="38"/>
      <c r="B155" s="27"/>
      <c r="C155" s="30"/>
      <c r="D155" s="31"/>
      <c r="E155" s="30"/>
      <c r="F155" s="31"/>
      <c r="G155" s="4"/>
      <c r="H155" s="4"/>
      <c r="I155" s="4"/>
      <c r="J155" s="4"/>
      <c r="K155" s="4"/>
      <c r="L155" s="6">
        <v>1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35">
      <c r="A156" s="38"/>
      <c r="B156" s="27"/>
      <c r="C156" s="28" t="s">
        <v>182</v>
      </c>
      <c r="D156" s="29"/>
      <c r="E156" s="30" t="s">
        <v>95</v>
      </c>
      <c r="F156" s="31"/>
      <c r="G156" s="4">
        <v>4</v>
      </c>
      <c r="H156" s="4">
        <v>4</v>
      </c>
      <c r="I156" s="4">
        <v>4</v>
      </c>
      <c r="J156" s="4">
        <v>4</v>
      </c>
      <c r="K156" s="4">
        <v>4</v>
      </c>
      <c r="L156" s="4">
        <v>4</v>
      </c>
      <c r="M156" s="5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</row>
    <row r="157" spans="1:26" x14ac:dyDescent="0.35">
      <c r="A157" s="38"/>
      <c r="B157" s="27"/>
      <c r="C157" s="28" t="s">
        <v>183</v>
      </c>
      <c r="D157" s="29"/>
      <c r="E157" s="30" t="s">
        <v>96</v>
      </c>
      <c r="F157" s="31"/>
      <c r="G157" s="4">
        <v>4</v>
      </c>
      <c r="H157" s="4">
        <v>4</v>
      </c>
      <c r="I157" s="4">
        <v>4</v>
      </c>
      <c r="J157" s="4">
        <v>4</v>
      </c>
      <c r="K157" s="4">
        <v>4</v>
      </c>
      <c r="L157" s="4">
        <v>4</v>
      </c>
      <c r="M157" s="5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</row>
    <row r="158" spans="1:26" x14ac:dyDescent="0.35">
      <c r="A158" s="38"/>
      <c r="B158" s="27"/>
      <c r="C158" s="28" t="s">
        <v>42</v>
      </c>
      <c r="D158" s="29"/>
      <c r="E158" s="30" t="s">
        <v>95</v>
      </c>
      <c r="F158" s="31"/>
      <c r="G158" s="4">
        <v>4</v>
      </c>
      <c r="H158" s="4">
        <v>4</v>
      </c>
      <c r="I158" s="4">
        <v>4</v>
      </c>
      <c r="J158" s="4">
        <v>4</v>
      </c>
      <c r="K158" s="4">
        <v>4</v>
      </c>
      <c r="L158" s="4">
        <v>4</v>
      </c>
      <c r="M158" s="4">
        <v>4</v>
      </c>
      <c r="N158" s="4">
        <v>4</v>
      </c>
      <c r="O158" s="5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</row>
    <row r="159" spans="1:26" x14ac:dyDescent="0.35">
      <c r="A159" s="38"/>
      <c r="B159" s="27"/>
      <c r="C159" s="28" t="s">
        <v>43</v>
      </c>
      <c r="D159" s="29"/>
      <c r="E159" s="30" t="s">
        <v>96</v>
      </c>
      <c r="F159" s="31"/>
      <c r="G159" s="4">
        <v>3</v>
      </c>
      <c r="H159" s="4">
        <v>3</v>
      </c>
      <c r="I159" s="4">
        <v>3</v>
      </c>
      <c r="J159" s="4">
        <v>3</v>
      </c>
      <c r="K159" s="4">
        <v>3</v>
      </c>
      <c r="L159" s="4">
        <v>3</v>
      </c>
      <c r="M159" s="4">
        <v>3</v>
      </c>
      <c r="N159" s="4">
        <v>3</v>
      </c>
      <c r="O159" s="4">
        <v>3</v>
      </c>
      <c r="P159" s="5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</row>
    <row r="160" spans="1:26" x14ac:dyDescent="0.35">
      <c r="A160" s="38"/>
      <c r="B160" s="27"/>
      <c r="C160" s="28" t="s">
        <v>184</v>
      </c>
      <c r="D160" s="29"/>
      <c r="E160" s="30" t="s">
        <v>95</v>
      </c>
      <c r="F160" s="31"/>
      <c r="G160" s="4">
        <v>4</v>
      </c>
      <c r="H160" s="4">
        <v>4</v>
      </c>
      <c r="I160" s="4">
        <v>4</v>
      </c>
      <c r="J160" s="4">
        <v>4</v>
      </c>
      <c r="K160" s="4">
        <v>4</v>
      </c>
      <c r="L160" s="4">
        <v>4</v>
      </c>
      <c r="M160" s="4">
        <v>4</v>
      </c>
      <c r="N160" s="4">
        <v>4</v>
      </c>
      <c r="O160" s="4">
        <v>4</v>
      </c>
      <c r="P160" s="4">
        <v>4</v>
      </c>
      <c r="Q160" s="5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</row>
    <row r="161" spans="1:26" x14ac:dyDescent="0.35">
      <c r="A161" s="38"/>
      <c r="B161" s="27"/>
      <c r="C161" s="28" t="s">
        <v>185</v>
      </c>
      <c r="D161" s="29"/>
      <c r="E161" s="30" t="s">
        <v>96</v>
      </c>
      <c r="F161" s="31"/>
      <c r="G161" s="4">
        <v>5</v>
      </c>
      <c r="H161" s="4">
        <v>5</v>
      </c>
      <c r="I161" s="4">
        <v>5</v>
      </c>
      <c r="J161" s="4">
        <v>5</v>
      </c>
      <c r="K161" s="4">
        <v>5</v>
      </c>
      <c r="L161" s="4">
        <v>5</v>
      </c>
      <c r="M161" s="4">
        <v>5</v>
      </c>
      <c r="N161" s="4">
        <v>5</v>
      </c>
      <c r="O161" s="4">
        <v>5</v>
      </c>
      <c r="P161" s="4">
        <v>5</v>
      </c>
      <c r="Q161" s="4">
        <v>5</v>
      </c>
      <c r="R161" s="4">
        <v>5</v>
      </c>
      <c r="S161" s="4">
        <v>5</v>
      </c>
      <c r="T161" s="5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</row>
    <row r="162" spans="1:26" x14ac:dyDescent="0.35">
      <c r="A162" s="38"/>
      <c r="B162" s="27"/>
      <c r="C162" s="28" t="s">
        <v>47</v>
      </c>
      <c r="D162" s="29"/>
      <c r="E162" s="30" t="s">
        <v>95</v>
      </c>
      <c r="F162" s="31"/>
      <c r="G162" s="4">
        <v>4</v>
      </c>
      <c r="H162" s="4">
        <v>4</v>
      </c>
      <c r="I162" s="4">
        <v>4</v>
      </c>
      <c r="J162" s="4">
        <v>4</v>
      </c>
      <c r="K162" s="4">
        <v>4</v>
      </c>
      <c r="L162" s="4">
        <v>4</v>
      </c>
      <c r="M162" s="4">
        <v>4</v>
      </c>
      <c r="N162" s="4">
        <v>4</v>
      </c>
      <c r="O162" s="4">
        <v>4</v>
      </c>
      <c r="P162" s="4">
        <v>4</v>
      </c>
      <c r="Q162" s="4">
        <v>4</v>
      </c>
      <c r="R162" s="4">
        <v>4</v>
      </c>
      <c r="S162" s="4">
        <v>4</v>
      </c>
      <c r="T162" s="4">
        <v>4</v>
      </c>
      <c r="U162" s="5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</row>
    <row r="163" spans="1:26" x14ac:dyDescent="0.35">
      <c r="A163" s="38"/>
      <c r="B163" s="27"/>
      <c r="C163" s="28" t="s">
        <v>48</v>
      </c>
      <c r="D163" s="29"/>
      <c r="E163" s="30" t="s">
        <v>96</v>
      </c>
      <c r="F163" s="31"/>
      <c r="G163" s="4">
        <v>5</v>
      </c>
      <c r="H163" s="4">
        <v>5</v>
      </c>
      <c r="I163" s="4">
        <v>5</v>
      </c>
      <c r="J163" s="4">
        <v>5</v>
      </c>
      <c r="K163" s="4">
        <v>5</v>
      </c>
      <c r="L163" s="4">
        <v>5</v>
      </c>
      <c r="M163" s="4">
        <v>5</v>
      </c>
      <c r="N163" s="4">
        <v>5</v>
      </c>
      <c r="O163" s="4">
        <v>5</v>
      </c>
      <c r="P163" s="4">
        <v>5</v>
      </c>
      <c r="Q163" s="4">
        <v>5</v>
      </c>
      <c r="R163" s="4">
        <v>5</v>
      </c>
      <c r="S163" s="4">
        <v>5</v>
      </c>
      <c r="T163" s="4">
        <v>5</v>
      </c>
      <c r="U163" s="4">
        <v>5</v>
      </c>
      <c r="V163" s="4">
        <v>5</v>
      </c>
      <c r="W163" s="5">
        <v>0</v>
      </c>
      <c r="X163" s="4">
        <v>0</v>
      </c>
      <c r="Y163" s="4">
        <v>0</v>
      </c>
      <c r="Z163" s="4">
        <v>0</v>
      </c>
    </row>
    <row r="164" spans="1:26" x14ac:dyDescent="0.35">
      <c r="A164" s="38"/>
      <c r="B164" s="27"/>
      <c r="C164" s="28" t="s">
        <v>186</v>
      </c>
      <c r="D164" s="29"/>
      <c r="E164" s="30" t="s">
        <v>95</v>
      </c>
      <c r="F164" s="31"/>
      <c r="G164" s="4">
        <v>3</v>
      </c>
      <c r="H164" s="4">
        <v>3</v>
      </c>
      <c r="I164" s="4">
        <v>3</v>
      </c>
      <c r="J164" s="4">
        <v>3</v>
      </c>
      <c r="K164" s="4">
        <v>3</v>
      </c>
      <c r="L164" s="4">
        <v>3</v>
      </c>
      <c r="M164" s="4">
        <v>3</v>
      </c>
      <c r="N164" s="4">
        <v>3</v>
      </c>
      <c r="O164" s="4">
        <v>3</v>
      </c>
      <c r="P164" s="4">
        <v>3</v>
      </c>
      <c r="Q164" s="4">
        <v>3</v>
      </c>
      <c r="R164" s="4">
        <v>3</v>
      </c>
      <c r="S164" s="4">
        <v>3</v>
      </c>
      <c r="T164" s="4">
        <v>3</v>
      </c>
      <c r="U164" s="4">
        <v>3</v>
      </c>
      <c r="V164" s="4">
        <v>3</v>
      </c>
      <c r="W164" s="4">
        <v>3</v>
      </c>
      <c r="X164" s="5">
        <v>0</v>
      </c>
      <c r="Y164" s="4">
        <v>0</v>
      </c>
      <c r="Z164" s="4">
        <v>0</v>
      </c>
    </row>
    <row r="165" spans="1:26" x14ac:dyDescent="0.35">
      <c r="A165" s="38"/>
      <c r="B165" s="37"/>
      <c r="C165" s="51" t="s">
        <v>187</v>
      </c>
      <c r="D165" s="52"/>
      <c r="E165" s="30" t="s">
        <v>96</v>
      </c>
      <c r="F165" s="31"/>
      <c r="G165" s="4">
        <v>3</v>
      </c>
      <c r="H165" s="4">
        <v>3</v>
      </c>
      <c r="I165" s="4">
        <v>3</v>
      </c>
      <c r="J165" s="4">
        <v>3</v>
      </c>
      <c r="K165" s="4">
        <v>3</v>
      </c>
      <c r="L165" s="4">
        <v>3</v>
      </c>
      <c r="M165" s="4">
        <v>3</v>
      </c>
      <c r="N165" s="4">
        <v>3</v>
      </c>
      <c r="O165" s="4">
        <v>3</v>
      </c>
      <c r="P165" s="4">
        <v>3</v>
      </c>
      <c r="Q165" s="4">
        <v>3</v>
      </c>
      <c r="R165" s="4">
        <v>3</v>
      </c>
      <c r="S165" s="4">
        <v>3</v>
      </c>
      <c r="T165" s="4">
        <v>3</v>
      </c>
      <c r="U165" s="4">
        <v>3</v>
      </c>
      <c r="V165" s="4">
        <v>3</v>
      </c>
      <c r="W165" s="4">
        <v>3</v>
      </c>
      <c r="X165" s="4">
        <v>3</v>
      </c>
      <c r="Y165" s="5">
        <v>0</v>
      </c>
      <c r="Z165" s="4">
        <v>0</v>
      </c>
    </row>
    <row r="166" spans="1:26" x14ac:dyDescent="0.35">
      <c r="A166" s="27"/>
      <c r="B166" s="27" t="s">
        <v>123</v>
      </c>
      <c r="C166" s="53" t="s">
        <v>56</v>
      </c>
      <c r="D166" s="53"/>
      <c r="E166" s="30" t="s">
        <v>94</v>
      </c>
      <c r="F166" s="31"/>
      <c r="G166" s="4">
        <v>3</v>
      </c>
      <c r="H166" s="4">
        <v>3</v>
      </c>
      <c r="I166" s="4">
        <v>3</v>
      </c>
      <c r="J166" s="4">
        <v>3</v>
      </c>
      <c r="K166" s="4">
        <v>3</v>
      </c>
      <c r="L166" s="4">
        <v>3</v>
      </c>
      <c r="M166" s="5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</row>
    <row r="167" spans="1:26" x14ac:dyDescent="0.35">
      <c r="A167" s="38"/>
      <c r="B167" s="38"/>
      <c r="C167" s="56" t="s">
        <v>189</v>
      </c>
      <c r="D167" s="57"/>
      <c r="E167" s="30" t="s">
        <v>103</v>
      </c>
      <c r="F167" s="31"/>
      <c r="G167" s="4">
        <v>3</v>
      </c>
      <c r="H167" s="4">
        <v>3</v>
      </c>
      <c r="I167" s="4">
        <v>3</v>
      </c>
      <c r="J167" s="4">
        <v>3</v>
      </c>
      <c r="K167" s="4">
        <v>3</v>
      </c>
      <c r="L167" s="4">
        <v>3</v>
      </c>
      <c r="M167" s="5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</row>
    <row r="168" spans="1:26" x14ac:dyDescent="0.35">
      <c r="A168" s="27"/>
      <c r="B168" s="27"/>
      <c r="C168" s="53" t="s">
        <v>190</v>
      </c>
      <c r="D168" s="53"/>
      <c r="E168" s="30" t="s">
        <v>94</v>
      </c>
      <c r="F168" s="31"/>
      <c r="G168" s="4">
        <v>3</v>
      </c>
      <c r="H168" s="4">
        <v>3</v>
      </c>
      <c r="I168" s="4">
        <v>3</v>
      </c>
      <c r="J168" s="4">
        <v>3</v>
      </c>
      <c r="K168" s="4">
        <v>3</v>
      </c>
      <c r="L168" s="4">
        <v>3</v>
      </c>
      <c r="M168" s="4">
        <v>3</v>
      </c>
      <c r="N168" s="5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</row>
    <row r="169" spans="1:26" x14ac:dyDescent="0.35">
      <c r="A169" s="38"/>
      <c r="B169" s="38"/>
      <c r="C169" s="56" t="s">
        <v>191</v>
      </c>
      <c r="D169" s="57"/>
      <c r="E169" s="30" t="s">
        <v>104</v>
      </c>
      <c r="F169" s="31"/>
      <c r="G169" s="4">
        <v>3</v>
      </c>
      <c r="H169" s="4">
        <v>3</v>
      </c>
      <c r="I169" s="4">
        <v>3</v>
      </c>
      <c r="J169" s="4">
        <v>3</v>
      </c>
      <c r="K169" s="4">
        <v>3</v>
      </c>
      <c r="L169" s="4">
        <v>3</v>
      </c>
      <c r="M169" s="4">
        <v>3</v>
      </c>
      <c r="N169" s="5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</row>
    <row r="170" spans="1:26" x14ac:dyDescent="0.35">
      <c r="A170" s="27"/>
      <c r="B170" s="27"/>
      <c r="C170" s="53" t="s">
        <v>192</v>
      </c>
      <c r="D170" s="53"/>
      <c r="E170" s="30" t="s">
        <v>94</v>
      </c>
      <c r="F170" s="31"/>
      <c r="G170" s="4">
        <v>3</v>
      </c>
      <c r="H170" s="4">
        <v>3</v>
      </c>
      <c r="I170" s="4">
        <v>3</v>
      </c>
      <c r="J170" s="4">
        <v>3</v>
      </c>
      <c r="K170" s="4">
        <v>3</v>
      </c>
      <c r="L170" s="4">
        <v>3</v>
      </c>
      <c r="M170" s="4">
        <v>3</v>
      </c>
      <c r="N170" s="5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</row>
    <row r="171" spans="1:26" x14ac:dyDescent="0.35">
      <c r="A171" s="38"/>
      <c r="B171" s="38"/>
      <c r="C171" s="56" t="s">
        <v>193</v>
      </c>
      <c r="D171" s="57"/>
      <c r="E171" s="30" t="s">
        <v>103</v>
      </c>
      <c r="F171" s="31"/>
      <c r="G171" s="4">
        <v>3</v>
      </c>
      <c r="H171" s="4">
        <v>3</v>
      </c>
      <c r="I171" s="4">
        <v>3</v>
      </c>
      <c r="J171" s="4">
        <v>3</v>
      </c>
      <c r="K171" s="4">
        <v>3</v>
      </c>
      <c r="L171" s="4">
        <v>3</v>
      </c>
      <c r="M171" s="4">
        <v>3</v>
      </c>
      <c r="N171" s="5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</row>
    <row r="172" spans="1:26" x14ac:dyDescent="0.35">
      <c r="A172" s="27"/>
      <c r="B172" s="27"/>
      <c r="C172" s="53" t="s">
        <v>54</v>
      </c>
      <c r="D172" s="53"/>
      <c r="E172" s="30" t="s">
        <v>94</v>
      </c>
      <c r="F172" s="31"/>
      <c r="G172" s="4">
        <v>4</v>
      </c>
      <c r="H172" s="4">
        <v>3</v>
      </c>
      <c r="I172" s="4">
        <v>4</v>
      </c>
      <c r="J172" s="4">
        <v>4</v>
      </c>
      <c r="K172" s="4">
        <v>4</v>
      </c>
      <c r="L172" s="4">
        <v>4</v>
      </c>
      <c r="M172" s="4">
        <v>4</v>
      </c>
      <c r="N172" s="4">
        <v>4</v>
      </c>
      <c r="O172" s="4">
        <v>4</v>
      </c>
      <c r="P172" s="5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</row>
    <row r="173" spans="1:26" x14ac:dyDescent="0.35">
      <c r="A173" s="38"/>
      <c r="B173" s="38"/>
      <c r="C173" s="30"/>
      <c r="D173" s="31"/>
      <c r="E173" s="30"/>
      <c r="F173" s="31"/>
      <c r="G173" s="4"/>
      <c r="H173" s="4"/>
      <c r="I173" s="4"/>
      <c r="J173" s="4"/>
      <c r="K173" s="4"/>
      <c r="L173" s="4"/>
      <c r="M173" s="4"/>
      <c r="N173" s="4"/>
      <c r="O173" s="4"/>
      <c r="P173" s="7">
        <v>1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35">
      <c r="A174" s="38"/>
      <c r="B174" s="38"/>
      <c r="C174" s="53" t="s">
        <v>87</v>
      </c>
      <c r="D174" s="53"/>
      <c r="E174" s="30" t="s">
        <v>104</v>
      </c>
      <c r="F174" s="31"/>
      <c r="G174" s="4">
        <v>3</v>
      </c>
      <c r="H174" s="4">
        <v>3</v>
      </c>
      <c r="I174" s="4">
        <v>3</v>
      </c>
      <c r="J174" s="4">
        <v>3</v>
      </c>
      <c r="K174" s="4">
        <v>3</v>
      </c>
      <c r="L174" s="4">
        <v>3</v>
      </c>
      <c r="M174" s="4">
        <v>3</v>
      </c>
      <c r="N174" s="4">
        <v>3</v>
      </c>
      <c r="O174" s="4">
        <v>3</v>
      </c>
      <c r="P174" s="5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</row>
    <row r="175" spans="1:26" x14ac:dyDescent="0.35">
      <c r="A175" s="27"/>
      <c r="B175" s="27"/>
      <c r="C175" s="53" t="s">
        <v>55</v>
      </c>
      <c r="D175" s="53"/>
      <c r="E175" s="30" t="s">
        <v>94</v>
      </c>
      <c r="F175" s="31"/>
      <c r="G175" s="4">
        <v>2</v>
      </c>
      <c r="H175" s="4">
        <v>2</v>
      </c>
      <c r="I175" s="4">
        <v>2</v>
      </c>
      <c r="J175" s="4">
        <v>2</v>
      </c>
      <c r="K175" s="4">
        <v>2</v>
      </c>
      <c r="L175" s="4">
        <v>2</v>
      </c>
      <c r="M175" s="4">
        <v>2</v>
      </c>
      <c r="N175" s="4">
        <v>2</v>
      </c>
      <c r="O175" s="4">
        <v>2</v>
      </c>
      <c r="P175" s="5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</row>
    <row r="176" spans="1:26" x14ac:dyDescent="0.35">
      <c r="A176" s="38"/>
      <c r="B176" s="38"/>
      <c r="C176" s="56" t="s">
        <v>194</v>
      </c>
      <c r="D176" s="57"/>
      <c r="E176" s="30" t="s">
        <v>103</v>
      </c>
      <c r="F176" s="31"/>
      <c r="G176" s="4">
        <v>2</v>
      </c>
      <c r="H176" s="4">
        <v>2</v>
      </c>
      <c r="I176" s="4">
        <v>2</v>
      </c>
      <c r="J176" s="4">
        <v>2</v>
      </c>
      <c r="K176" s="4">
        <v>2</v>
      </c>
      <c r="L176" s="4">
        <v>2</v>
      </c>
      <c r="M176" s="4">
        <v>2</v>
      </c>
      <c r="N176" s="4">
        <v>2</v>
      </c>
      <c r="O176" s="4">
        <v>2</v>
      </c>
      <c r="P176" s="5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</row>
    <row r="177" spans="1:26" x14ac:dyDescent="0.35">
      <c r="A177" s="27"/>
      <c r="B177" s="27"/>
      <c r="C177" s="53" t="s">
        <v>195</v>
      </c>
      <c r="D177" s="53"/>
      <c r="E177" s="30" t="s">
        <v>94</v>
      </c>
      <c r="F177" s="31"/>
      <c r="G177" s="4">
        <v>3</v>
      </c>
      <c r="H177" s="4">
        <v>3</v>
      </c>
      <c r="I177" s="4">
        <v>3</v>
      </c>
      <c r="J177" s="4">
        <v>3</v>
      </c>
      <c r="K177" s="4">
        <v>3</v>
      </c>
      <c r="L177" s="4">
        <v>3</v>
      </c>
      <c r="M177" s="4">
        <v>3</v>
      </c>
      <c r="N177" s="4">
        <v>3</v>
      </c>
      <c r="O177" s="4">
        <v>3</v>
      </c>
      <c r="P177" s="4">
        <v>3</v>
      </c>
      <c r="Q177" s="4">
        <v>3</v>
      </c>
      <c r="R177" s="5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</row>
    <row r="178" spans="1:26" x14ac:dyDescent="0.35">
      <c r="A178" s="38"/>
      <c r="B178" s="38"/>
      <c r="C178" s="56" t="s">
        <v>196</v>
      </c>
      <c r="D178" s="57"/>
      <c r="E178" s="30" t="s">
        <v>104</v>
      </c>
      <c r="F178" s="31"/>
      <c r="G178" s="4">
        <v>3</v>
      </c>
      <c r="H178" s="4">
        <v>3</v>
      </c>
      <c r="I178" s="4">
        <v>3</v>
      </c>
      <c r="J178" s="4">
        <v>3</v>
      </c>
      <c r="K178" s="4">
        <v>3</v>
      </c>
      <c r="L178" s="4">
        <v>3</v>
      </c>
      <c r="M178" s="4">
        <v>3</v>
      </c>
      <c r="N178" s="4">
        <v>3</v>
      </c>
      <c r="O178" s="4">
        <v>3</v>
      </c>
      <c r="P178" s="4">
        <v>3</v>
      </c>
      <c r="Q178" s="4">
        <v>3</v>
      </c>
      <c r="R178" s="5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</row>
    <row r="179" spans="1:26" x14ac:dyDescent="0.35">
      <c r="A179" s="27"/>
      <c r="B179" s="27"/>
      <c r="C179" s="53" t="s">
        <v>197</v>
      </c>
      <c r="D179" s="53"/>
      <c r="E179" s="30" t="s">
        <v>94</v>
      </c>
      <c r="F179" s="31"/>
      <c r="G179" s="4">
        <v>7</v>
      </c>
      <c r="H179" s="4">
        <v>5</v>
      </c>
      <c r="I179" s="4">
        <v>7</v>
      </c>
      <c r="J179" s="4">
        <v>7</v>
      </c>
      <c r="K179" s="4">
        <v>7</v>
      </c>
      <c r="L179" s="4">
        <v>7</v>
      </c>
      <c r="M179" s="4">
        <v>7</v>
      </c>
      <c r="N179" s="4">
        <v>7</v>
      </c>
      <c r="O179" s="4">
        <v>7</v>
      </c>
      <c r="P179" s="4">
        <v>7</v>
      </c>
      <c r="Q179" s="4">
        <v>7</v>
      </c>
      <c r="R179" s="4">
        <v>7</v>
      </c>
      <c r="S179" s="4">
        <v>7</v>
      </c>
      <c r="T179" s="4">
        <v>7</v>
      </c>
      <c r="U179" s="5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</row>
    <row r="180" spans="1:26" x14ac:dyDescent="0.35">
      <c r="A180" s="38"/>
      <c r="B180" s="38"/>
      <c r="C180" s="30"/>
      <c r="D180" s="31"/>
      <c r="E180" s="30"/>
      <c r="F180" s="3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7">
        <v>2</v>
      </c>
      <c r="V180" s="4"/>
      <c r="W180" s="4"/>
      <c r="X180" s="4"/>
      <c r="Y180" s="4"/>
      <c r="Z180" s="4"/>
    </row>
    <row r="181" spans="1:26" x14ac:dyDescent="0.35">
      <c r="A181" s="38"/>
      <c r="B181" s="38"/>
      <c r="C181" s="53" t="s">
        <v>198</v>
      </c>
      <c r="D181" s="53"/>
      <c r="E181" s="30" t="s">
        <v>103</v>
      </c>
      <c r="F181" s="31"/>
      <c r="G181" s="4">
        <v>3</v>
      </c>
      <c r="H181" s="4">
        <v>3</v>
      </c>
      <c r="I181" s="4">
        <v>3</v>
      </c>
      <c r="J181" s="4">
        <v>3</v>
      </c>
      <c r="K181" s="4">
        <v>3</v>
      </c>
      <c r="L181" s="4">
        <v>3</v>
      </c>
      <c r="M181" s="4">
        <v>3</v>
      </c>
      <c r="N181" s="4">
        <v>3</v>
      </c>
      <c r="O181" s="4">
        <v>3</v>
      </c>
      <c r="P181" s="4">
        <v>3</v>
      </c>
      <c r="Q181" s="4">
        <v>3</v>
      </c>
      <c r="R181" s="4">
        <v>3</v>
      </c>
      <c r="S181" s="4">
        <v>3</v>
      </c>
      <c r="T181" s="4">
        <v>3</v>
      </c>
      <c r="U181" s="5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</row>
    <row r="182" spans="1:26" x14ac:dyDescent="0.35">
      <c r="A182" s="27"/>
      <c r="B182" s="27"/>
      <c r="C182" s="53" t="s">
        <v>59</v>
      </c>
      <c r="D182" s="53"/>
      <c r="E182" s="30" t="s">
        <v>94</v>
      </c>
      <c r="F182" s="31"/>
      <c r="G182" s="4">
        <v>3</v>
      </c>
      <c r="H182" s="4">
        <v>3</v>
      </c>
      <c r="I182" s="4">
        <v>3</v>
      </c>
      <c r="J182" s="4">
        <v>3</v>
      </c>
      <c r="K182" s="4">
        <v>3</v>
      </c>
      <c r="L182" s="4">
        <v>3</v>
      </c>
      <c r="M182" s="4">
        <v>3</v>
      </c>
      <c r="N182" s="4">
        <v>3</v>
      </c>
      <c r="O182" s="4">
        <v>3</v>
      </c>
      <c r="P182" s="4">
        <v>3</v>
      </c>
      <c r="Q182" s="4">
        <v>3</v>
      </c>
      <c r="R182" s="4">
        <v>3</v>
      </c>
      <c r="S182" s="4">
        <v>3</v>
      </c>
      <c r="T182" s="4">
        <v>3</v>
      </c>
      <c r="U182" s="4">
        <v>3</v>
      </c>
      <c r="V182" s="5">
        <v>0</v>
      </c>
      <c r="W182" s="4">
        <v>0</v>
      </c>
      <c r="X182" s="4">
        <v>0</v>
      </c>
      <c r="Y182" s="4">
        <v>0</v>
      </c>
      <c r="Z182" s="4">
        <v>0</v>
      </c>
    </row>
    <row r="183" spans="1:26" x14ac:dyDescent="0.35">
      <c r="A183" s="38"/>
      <c r="B183" s="38"/>
      <c r="C183" s="56" t="s">
        <v>199</v>
      </c>
      <c r="D183" s="57"/>
      <c r="E183" s="30" t="s">
        <v>104</v>
      </c>
      <c r="F183" s="31"/>
      <c r="G183" s="4">
        <v>3</v>
      </c>
      <c r="H183" s="4">
        <v>3</v>
      </c>
      <c r="I183" s="4">
        <v>3</v>
      </c>
      <c r="J183" s="4">
        <v>3</v>
      </c>
      <c r="K183" s="4">
        <v>3</v>
      </c>
      <c r="L183" s="4">
        <v>3</v>
      </c>
      <c r="M183" s="4">
        <v>3</v>
      </c>
      <c r="N183" s="4">
        <v>3</v>
      </c>
      <c r="O183" s="4">
        <v>3</v>
      </c>
      <c r="P183" s="4">
        <v>3</v>
      </c>
      <c r="Q183" s="4">
        <v>3</v>
      </c>
      <c r="R183" s="4">
        <v>3</v>
      </c>
      <c r="S183" s="4">
        <v>3</v>
      </c>
      <c r="T183" s="4">
        <v>3</v>
      </c>
      <c r="U183" s="4">
        <v>3</v>
      </c>
      <c r="V183" s="5">
        <v>0</v>
      </c>
      <c r="W183" s="4">
        <v>0</v>
      </c>
      <c r="X183" s="4">
        <v>0</v>
      </c>
      <c r="Y183" s="4">
        <v>0</v>
      </c>
      <c r="Z183" s="4">
        <v>0</v>
      </c>
    </row>
    <row r="184" spans="1:26" x14ac:dyDescent="0.35">
      <c r="A184" s="27"/>
      <c r="B184" s="27"/>
      <c r="C184" s="53" t="s">
        <v>60</v>
      </c>
      <c r="D184" s="53"/>
      <c r="E184" s="30" t="s">
        <v>94</v>
      </c>
      <c r="F184" s="31"/>
      <c r="G184" s="4">
        <v>4</v>
      </c>
      <c r="H184" s="4">
        <v>4</v>
      </c>
      <c r="I184" s="4">
        <v>4</v>
      </c>
      <c r="J184" s="4">
        <v>4</v>
      </c>
      <c r="K184" s="4">
        <v>4</v>
      </c>
      <c r="L184" s="4">
        <v>4</v>
      </c>
      <c r="M184" s="4">
        <v>4</v>
      </c>
      <c r="N184" s="4">
        <v>4</v>
      </c>
      <c r="O184" s="4">
        <v>4</v>
      </c>
      <c r="P184" s="4">
        <v>4</v>
      </c>
      <c r="Q184" s="4">
        <v>4</v>
      </c>
      <c r="R184" s="4">
        <v>4</v>
      </c>
      <c r="S184" s="4">
        <v>4</v>
      </c>
      <c r="T184" s="4">
        <v>4</v>
      </c>
      <c r="U184" s="4">
        <v>4</v>
      </c>
      <c r="V184" s="4">
        <v>4</v>
      </c>
      <c r="W184" s="4">
        <v>4</v>
      </c>
      <c r="X184" s="5">
        <v>0</v>
      </c>
      <c r="Y184" s="4">
        <v>0</v>
      </c>
      <c r="Z184" s="4">
        <v>0</v>
      </c>
    </row>
    <row r="185" spans="1:26" x14ac:dyDescent="0.35">
      <c r="A185" s="38"/>
      <c r="B185" s="38"/>
      <c r="C185" s="56" t="s">
        <v>200</v>
      </c>
      <c r="D185" s="57"/>
      <c r="E185" s="30" t="s">
        <v>103</v>
      </c>
      <c r="F185" s="31"/>
      <c r="G185" s="4">
        <v>3</v>
      </c>
      <c r="H185" s="4">
        <v>3</v>
      </c>
      <c r="I185" s="4">
        <v>3</v>
      </c>
      <c r="J185" s="4">
        <v>3</v>
      </c>
      <c r="K185" s="4">
        <v>3</v>
      </c>
      <c r="L185" s="4">
        <v>3</v>
      </c>
      <c r="M185" s="4">
        <v>3</v>
      </c>
      <c r="N185" s="4">
        <v>3</v>
      </c>
      <c r="O185" s="4">
        <v>3</v>
      </c>
      <c r="P185" s="4">
        <v>3</v>
      </c>
      <c r="Q185" s="4">
        <v>3</v>
      </c>
      <c r="R185" s="4">
        <v>3</v>
      </c>
      <c r="S185" s="4">
        <v>3</v>
      </c>
      <c r="T185" s="4">
        <v>3</v>
      </c>
      <c r="U185" s="4">
        <v>3</v>
      </c>
      <c r="V185" s="4">
        <v>3</v>
      </c>
      <c r="W185" s="4">
        <v>3</v>
      </c>
      <c r="X185" s="5">
        <v>0</v>
      </c>
      <c r="Y185" s="4">
        <v>0</v>
      </c>
      <c r="Z185" s="4">
        <v>0</v>
      </c>
    </row>
    <row r="186" spans="1:26" x14ac:dyDescent="0.35">
      <c r="A186" s="27"/>
      <c r="B186" s="27"/>
      <c r="C186" s="53" t="s">
        <v>201</v>
      </c>
      <c r="D186" s="53"/>
      <c r="E186" s="30" t="s">
        <v>94</v>
      </c>
      <c r="F186" s="31"/>
      <c r="G186" s="4">
        <v>2</v>
      </c>
      <c r="H186" s="4">
        <v>2</v>
      </c>
      <c r="I186" s="4">
        <v>2</v>
      </c>
      <c r="J186" s="4">
        <v>2</v>
      </c>
      <c r="K186" s="4">
        <v>2</v>
      </c>
      <c r="L186" s="4">
        <v>2</v>
      </c>
      <c r="M186" s="4">
        <v>2</v>
      </c>
      <c r="N186" s="4">
        <v>2</v>
      </c>
      <c r="O186" s="4">
        <v>2</v>
      </c>
      <c r="P186" s="4">
        <v>2</v>
      </c>
      <c r="Q186" s="4">
        <v>2</v>
      </c>
      <c r="R186" s="4">
        <v>2</v>
      </c>
      <c r="S186" s="4">
        <v>2</v>
      </c>
      <c r="T186" s="4">
        <v>2</v>
      </c>
      <c r="U186" s="4">
        <v>2</v>
      </c>
      <c r="V186" s="4">
        <v>2</v>
      </c>
      <c r="W186" s="4">
        <v>2</v>
      </c>
      <c r="X186" s="4">
        <v>2</v>
      </c>
      <c r="Y186" s="5">
        <v>0</v>
      </c>
      <c r="Z186" s="4">
        <v>0</v>
      </c>
    </row>
    <row r="187" spans="1:26" x14ac:dyDescent="0.35">
      <c r="A187" s="38"/>
      <c r="B187" s="38"/>
      <c r="C187" s="56" t="s">
        <v>202</v>
      </c>
      <c r="D187" s="57"/>
      <c r="E187" s="30" t="s">
        <v>104</v>
      </c>
      <c r="F187" s="31"/>
      <c r="G187" s="4">
        <v>2</v>
      </c>
      <c r="H187" s="4">
        <v>2</v>
      </c>
      <c r="I187" s="4">
        <v>2</v>
      </c>
      <c r="J187" s="4">
        <v>2</v>
      </c>
      <c r="K187" s="4">
        <v>2</v>
      </c>
      <c r="L187" s="4">
        <v>2</v>
      </c>
      <c r="M187" s="4">
        <v>2</v>
      </c>
      <c r="N187" s="4">
        <v>2</v>
      </c>
      <c r="O187" s="4">
        <v>2</v>
      </c>
      <c r="P187" s="4">
        <v>2</v>
      </c>
      <c r="Q187" s="4">
        <v>2</v>
      </c>
      <c r="R187" s="4">
        <v>2</v>
      </c>
      <c r="S187" s="4">
        <v>2</v>
      </c>
      <c r="T187" s="4">
        <v>2</v>
      </c>
      <c r="U187" s="4">
        <v>2</v>
      </c>
      <c r="V187" s="4">
        <v>2</v>
      </c>
      <c r="W187" s="4">
        <v>2</v>
      </c>
      <c r="X187" s="4">
        <v>2</v>
      </c>
      <c r="Y187" s="5">
        <v>0</v>
      </c>
      <c r="Z187" s="4">
        <v>0</v>
      </c>
    </row>
    <row r="188" spans="1:26" x14ac:dyDescent="0.35">
      <c r="A188" s="27"/>
      <c r="B188" s="27"/>
      <c r="C188" s="53" t="s">
        <v>203</v>
      </c>
      <c r="D188" s="53"/>
      <c r="E188" s="30" t="s">
        <v>94</v>
      </c>
      <c r="F188" s="31"/>
      <c r="G188" s="4">
        <v>2</v>
      </c>
      <c r="H188" s="4">
        <v>2</v>
      </c>
      <c r="I188" s="4">
        <v>2</v>
      </c>
      <c r="J188" s="4">
        <v>2</v>
      </c>
      <c r="K188" s="4">
        <v>2</v>
      </c>
      <c r="L188" s="4">
        <v>2</v>
      </c>
      <c r="M188" s="4">
        <v>2</v>
      </c>
      <c r="N188" s="4">
        <v>2</v>
      </c>
      <c r="O188" s="4">
        <v>2</v>
      </c>
      <c r="P188" s="4">
        <v>2</v>
      </c>
      <c r="Q188" s="4">
        <v>2</v>
      </c>
      <c r="R188" s="4">
        <v>2</v>
      </c>
      <c r="S188" s="4">
        <v>2</v>
      </c>
      <c r="T188" s="4">
        <v>2</v>
      </c>
      <c r="U188" s="4">
        <v>2</v>
      </c>
      <c r="V188" s="4">
        <v>2</v>
      </c>
      <c r="W188" s="4">
        <v>2</v>
      </c>
      <c r="X188" s="4">
        <v>2</v>
      </c>
      <c r="Y188" s="5">
        <v>0</v>
      </c>
      <c r="Z188" s="4">
        <v>0</v>
      </c>
    </row>
    <row r="189" spans="1:26" x14ac:dyDescent="0.35">
      <c r="A189" s="38"/>
      <c r="B189" s="39"/>
      <c r="C189" s="54" t="s">
        <v>204</v>
      </c>
      <c r="D189" s="55"/>
      <c r="E189" s="30" t="s">
        <v>103</v>
      </c>
      <c r="F189" s="31"/>
      <c r="G189" s="4">
        <v>2</v>
      </c>
      <c r="H189" s="4">
        <v>2</v>
      </c>
      <c r="I189" s="4">
        <v>2</v>
      </c>
      <c r="J189" s="4">
        <v>2</v>
      </c>
      <c r="K189" s="4">
        <v>2</v>
      </c>
      <c r="L189" s="4">
        <v>2</v>
      </c>
      <c r="M189" s="4">
        <v>2</v>
      </c>
      <c r="N189" s="4">
        <v>2</v>
      </c>
      <c r="O189" s="4">
        <v>2</v>
      </c>
      <c r="P189" s="4">
        <v>2</v>
      </c>
      <c r="Q189" s="4">
        <v>2</v>
      </c>
      <c r="R189" s="4">
        <v>2</v>
      </c>
      <c r="S189" s="4">
        <v>2</v>
      </c>
      <c r="T189" s="4">
        <v>2</v>
      </c>
      <c r="U189" s="4">
        <v>2</v>
      </c>
      <c r="V189" s="4">
        <v>2</v>
      </c>
      <c r="W189" s="4">
        <v>2</v>
      </c>
      <c r="X189" s="4">
        <v>2</v>
      </c>
      <c r="Y189" s="5">
        <v>0</v>
      </c>
      <c r="Z189" s="4">
        <v>0</v>
      </c>
    </row>
    <row r="190" spans="1:26" x14ac:dyDescent="0.35">
      <c r="A190" s="38"/>
      <c r="B190" s="27" t="s">
        <v>16</v>
      </c>
      <c r="C190" s="28" t="s">
        <v>67</v>
      </c>
      <c r="D190" s="29"/>
      <c r="E190" s="30" t="s">
        <v>96</v>
      </c>
      <c r="F190" s="31"/>
      <c r="G190" s="4">
        <v>2</v>
      </c>
      <c r="H190" s="4">
        <v>2</v>
      </c>
      <c r="I190" s="4">
        <v>2</v>
      </c>
      <c r="J190" s="4">
        <v>2</v>
      </c>
      <c r="K190" s="4">
        <v>2</v>
      </c>
      <c r="L190" s="4">
        <v>2</v>
      </c>
      <c r="M190" s="5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</row>
    <row r="191" spans="1:26" x14ac:dyDescent="0.35">
      <c r="A191" s="38"/>
      <c r="B191" s="27"/>
      <c r="C191" s="28" t="s">
        <v>210</v>
      </c>
      <c r="D191" s="29"/>
      <c r="E191" s="30" t="s">
        <v>95</v>
      </c>
      <c r="F191" s="31"/>
      <c r="G191" s="4">
        <v>2</v>
      </c>
      <c r="H191" s="4">
        <v>2</v>
      </c>
      <c r="I191" s="4">
        <v>2</v>
      </c>
      <c r="J191" s="4">
        <v>2</v>
      </c>
      <c r="K191" s="4">
        <v>2</v>
      </c>
      <c r="L191" s="4">
        <v>2</v>
      </c>
      <c r="M191" s="4">
        <v>2</v>
      </c>
      <c r="N191" s="5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</row>
    <row r="192" spans="1:26" x14ac:dyDescent="0.35">
      <c r="A192" s="38"/>
      <c r="B192" s="27"/>
      <c r="C192" s="28" t="s">
        <v>211</v>
      </c>
      <c r="D192" s="29"/>
      <c r="E192" s="30" t="s">
        <v>96</v>
      </c>
      <c r="F192" s="31"/>
      <c r="G192" s="4">
        <v>2</v>
      </c>
      <c r="H192" s="4">
        <v>2</v>
      </c>
      <c r="I192" s="4">
        <v>2</v>
      </c>
      <c r="J192" s="4">
        <v>2</v>
      </c>
      <c r="K192" s="4">
        <v>2</v>
      </c>
      <c r="L192" s="4">
        <v>2</v>
      </c>
      <c r="M192" s="4">
        <v>2</v>
      </c>
      <c r="N192" s="5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</row>
    <row r="193" spans="1:26" x14ac:dyDescent="0.35">
      <c r="A193" s="38"/>
      <c r="B193" s="27"/>
      <c r="C193" s="28" t="s">
        <v>65</v>
      </c>
      <c r="D193" s="29"/>
      <c r="E193" s="30" t="s">
        <v>95</v>
      </c>
      <c r="F193" s="31"/>
      <c r="G193" s="4">
        <v>2</v>
      </c>
      <c r="H193" s="4">
        <v>2</v>
      </c>
      <c r="I193" s="4">
        <v>2</v>
      </c>
      <c r="J193" s="4">
        <v>2</v>
      </c>
      <c r="K193" s="4">
        <v>2</v>
      </c>
      <c r="L193" s="4">
        <v>2</v>
      </c>
      <c r="M193" s="4">
        <v>2</v>
      </c>
      <c r="N193" s="4">
        <v>2</v>
      </c>
      <c r="O193" s="4">
        <v>2</v>
      </c>
      <c r="P193" s="5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</row>
    <row r="194" spans="1:26" x14ac:dyDescent="0.35">
      <c r="A194" s="38"/>
      <c r="B194" s="27"/>
      <c r="C194" s="28" t="s">
        <v>66</v>
      </c>
      <c r="D194" s="29"/>
      <c r="E194" s="30" t="s">
        <v>96</v>
      </c>
      <c r="F194" s="31"/>
      <c r="G194" s="4">
        <v>1</v>
      </c>
      <c r="H194" s="4">
        <v>1</v>
      </c>
      <c r="I194" s="4">
        <v>1</v>
      </c>
      <c r="J194" s="4">
        <v>1</v>
      </c>
      <c r="K194" s="4">
        <v>1</v>
      </c>
      <c r="L194" s="4">
        <v>1</v>
      </c>
      <c r="M194" s="4">
        <v>1</v>
      </c>
      <c r="N194" s="4">
        <v>1</v>
      </c>
      <c r="O194" s="4">
        <v>1</v>
      </c>
      <c r="P194" s="5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</row>
    <row r="195" spans="1:26" x14ac:dyDescent="0.35">
      <c r="A195" s="38"/>
      <c r="B195" s="27"/>
      <c r="C195" s="28" t="s">
        <v>212</v>
      </c>
      <c r="D195" s="29"/>
      <c r="E195" s="30" t="s">
        <v>95</v>
      </c>
      <c r="F195" s="31"/>
      <c r="G195" s="4">
        <v>2</v>
      </c>
      <c r="H195" s="4">
        <v>2</v>
      </c>
      <c r="I195" s="4">
        <v>2</v>
      </c>
      <c r="J195" s="4">
        <v>2</v>
      </c>
      <c r="K195" s="4">
        <v>2</v>
      </c>
      <c r="L195" s="4">
        <v>2</v>
      </c>
      <c r="M195" s="4">
        <v>2</v>
      </c>
      <c r="N195" s="4">
        <v>2</v>
      </c>
      <c r="O195" s="4">
        <v>2</v>
      </c>
      <c r="P195" s="4">
        <v>2</v>
      </c>
      <c r="Q195" s="4">
        <v>2</v>
      </c>
      <c r="R195" s="5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</row>
    <row r="196" spans="1:26" x14ac:dyDescent="0.35">
      <c r="A196" s="38"/>
      <c r="B196" s="27"/>
      <c r="C196" s="28" t="s">
        <v>213</v>
      </c>
      <c r="D196" s="29"/>
      <c r="E196" s="30" t="s">
        <v>96</v>
      </c>
      <c r="F196" s="31"/>
      <c r="G196" s="4">
        <v>2</v>
      </c>
      <c r="H196" s="4">
        <v>2</v>
      </c>
      <c r="I196" s="4">
        <v>2</v>
      </c>
      <c r="J196" s="4">
        <v>2</v>
      </c>
      <c r="K196" s="4">
        <v>2</v>
      </c>
      <c r="L196" s="4">
        <v>2</v>
      </c>
      <c r="M196" s="4">
        <v>2</v>
      </c>
      <c r="N196" s="4">
        <v>2</v>
      </c>
      <c r="O196" s="4">
        <v>2</v>
      </c>
      <c r="P196" s="4">
        <v>2</v>
      </c>
      <c r="Q196" s="4">
        <v>2</v>
      </c>
      <c r="R196" s="4">
        <v>2</v>
      </c>
      <c r="S196" s="4">
        <v>2</v>
      </c>
      <c r="T196" s="4">
        <v>2</v>
      </c>
      <c r="U196" s="5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</row>
    <row r="197" spans="1:26" x14ac:dyDescent="0.35">
      <c r="A197" s="38"/>
      <c r="B197" s="27"/>
      <c r="C197" s="28" t="s">
        <v>71</v>
      </c>
      <c r="D197" s="29"/>
      <c r="E197" s="30" t="s">
        <v>95</v>
      </c>
      <c r="F197" s="31"/>
      <c r="G197" s="4">
        <v>2</v>
      </c>
      <c r="H197" s="4">
        <v>2</v>
      </c>
      <c r="I197" s="4">
        <v>2</v>
      </c>
      <c r="J197" s="4">
        <v>2</v>
      </c>
      <c r="K197" s="4">
        <v>2</v>
      </c>
      <c r="L197" s="4">
        <v>2</v>
      </c>
      <c r="M197" s="4">
        <v>2</v>
      </c>
      <c r="N197" s="4">
        <v>2</v>
      </c>
      <c r="O197" s="4">
        <v>2</v>
      </c>
      <c r="P197" s="4">
        <v>2</v>
      </c>
      <c r="Q197" s="4">
        <v>2</v>
      </c>
      <c r="R197" s="4">
        <v>2</v>
      </c>
      <c r="S197" s="4">
        <v>2</v>
      </c>
      <c r="T197" s="4">
        <v>2</v>
      </c>
      <c r="U197" s="4">
        <v>2</v>
      </c>
      <c r="V197" s="5">
        <v>0</v>
      </c>
      <c r="W197" s="4">
        <v>0</v>
      </c>
      <c r="X197" s="4">
        <v>0</v>
      </c>
      <c r="Y197" s="4">
        <v>0</v>
      </c>
      <c r="Z197" s="4">
        <v>0</v>
      </c>
    </row>
    <row r="198" spans="1:26" x14ac:dyDescent="0.35">
      <c r="A198" s="38"/>
      <c r="B198" s="27"/>
      <c r="C198" s="28" t="s">
        <v>70</v>
      </c>
      <c r="D198" s="29"/>
      <c r="E198" s="30" t="s">
        <v>96</v>
      </c>
      <c r="F198" s="31"/>
      <c r="G198" s="4">
        <v>2</v>
      </c>
      <c r="H198" s="4">
        <v>2</v>
      </c>
      <c r="I198" s="4">
        <v>2</v>
      </c>
      <c r="J198" s="4">
        <v>2</v>
      </c>
      <c r="K198" s="4">
        <v>2</v>
      </c>
      <c r="L198" s="4">
        <v>2</v>
      </c>
      <c r="M198" s="4">
        <v>2</v>
      </c>
      <c r="N198" s="4">
        <v>2</v>
      </c>
      <c r="O198" s="4">
        <v>2</v>
      </c>
      <c r="P198" s="4">
        <v>2</v>
      </c>
      <c r="Q198" s="4">
        <v>2</v>
      </c>
      <c r="R198" s="4">
        <v>2</v>
      </c>
      <c r="S198" s="4">
        <v>2</v>
      </c>
      <c r="T198" s="4">
        <v>2</v>
      </c>
      <c r="U198" s="4">
        <v>2</v>
      </c>
      <c r="V198" s="4">
        <v>2</v>
      </c>
      <c r="W198" s="4">
        <v>2</v>
      </c>
      <c r="X198" s="5">
        <v>0</v>
      </c>
      <c r="Y198" s="4">
        <v>0</v>
      </c>
      <c r="Z198" s="4">
        <v>0</v>
      </c>
    </row>
    <row r="199" spans="1:26" x14ac:dyDescent="0.35">
      <c r="A199" s="38"/>
      <c r="B199" s="27"/>
      <c r="C199" s="28" t="s">
        <v>214</v>
      </c>
      <c r="D199" s="29"/>
      <c r="E199" s="30" t="s">
        <v>95</v>
      </c>
      <c r="F199" s="31"/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>
        <v>1</v>
      </c>
      <c r="O199" s="4">
        <v>1</v>
      </c>
      <c r="P199" s="4">
        <v>1</v>
      </c>
      <c r="Q199" s="4">
        <v>1</v>
      </c>
      <c r="R199" s="4">
        <v>1</v>
      </c>
      <c r="S199" s="4">
        <v>1</v>
      </c>
      <c r="T199" s="4">
        <v>1</v>
      </c>
      <c r="U199" s="4">
        <v>1</v>
      </c>
      <c r="V199" s="4">
        <v>1</v>
      </c>
      <c r="W199" s="4">
        <v>1</v>
      </c>
      <c r="X199" s="4">
        <v>1</v>
      </c>
      <c r="Y199" s="5">
        <v>0</v>
      </c>
      <c r="Z199" s="4">
        <v>0</v>
      </c>
    </row>
    <row r="200" spans="1:26" x14ac:dyDescent="0.35">
      <c r="A200" s="38"/>
      <c r="B200" s="27"/>
      <c r="C200" s="28" t="s">
        <v>215</v>
      </c>
      <c r="D200" s="29"/>
      <c r="E200" s="30" t="s">
        <v>96</v>
      </c>
      <c r="F200" s="31"/>
      <c r="G200" s="4">
        <v>1</v>
      </c>
      <c r="H200" s="4">
        <v>1</v>
      </c>
      <c r="I200" s="4">
        <v>1</v>
      </c>
      <c r="J200" s="4">
        <v>1</v>
      </c>
      <c r="K200" s="4">
        <v>1</v>
      </c>
      <c r="L200" s="4">
        <v>1</v>
      </c>
      <c r="M200" s="4">
        <v>1</v>
      </c>
      <c r="N200" s="4">
        <v>1</v>
      </c>
      <c r="O200" s="4">
        <v>1</v>
      </c>
      <c r="P200" s="4">
        <v>1</v>
      </c>
      <c r="Q200" s="4">
        <v>1</v>
      </c>
      <c r="R200" s="4">
        <v>1</v>
      </c>
      <c r="S200" s="4">
        <v>1</v>
      </c>
      <c r="T200" s="4">
        <v>1</v>
      </c>
      <c r="U200" s="4">
        <v>1</v>
      </c>
      <c r="V200" s="4">
        <v>1</v>
      </c>
      <c r="W200" s="4">
        <v>1</v>
      </c>
      <c r="X200" s="4">
        <v>1</v>
      </c>
      <c r="Y200" s="5">
        <v>0</v>
      </c>
      <c r="Z200" s="4">
        <v>0</v>
      </c>
    </row>
    <row r="201" spans="1:26" x14ac:dyDescent="0.35">
      <c r="A201" s="38"/>
      <c r="B201" s="27" t="s">
        <v>263</v>
      </c>
      <c r="C201" s="28" t="s">
        <v>205</v>
      </c>
      <c r="D201" s="29"/>
      <c r="E201" s="30" t="s">
        <v>17</v>
      </c>
      <c r="F201" s="31"/>
      <c r="G201" s="4">
        <v>4</v>
      </c>
      <c r="H201" s="4">
        <v>4</v>
      </c>
      <c r="I201" s="4">
        <v>4</v>
      </c>
      <c r="J201" s="4">
        <v>4</v>
      </c>
      <c r="K201" s="4">
        <v>4</v>
      </c>
      <c r="L201" s="4">
        <v>4</v>
      </c>
      <c r="M201" s="4">
        <v>4</v>
      </c>
      <c r="N201" s="4">
        <v>4</v>
      </c>
      <c r="O201" s="4">
        <v>4</v>
      </c>
      <c r="P201" s="4">
        <v>4</v>
      </c>
      <c r="Q201" s="4">
        <v>4</v>
      </c>
      <c r="R201" s="4">
        <v>4</v>
      </c>
      <c r="S201" s="4">
        <v>4</v>
      </c>
      <c r="T201" s="4">
        <v>4</v>
      </c>
      <c r="U201" s="4">
        <v>4</v>
      </c>
      <c r="V201" s="4">
        <v>4</v>
      </c>
      <c r="W201" s="4">
        <v>4</v>
      </c>
      <c r="X201" s="4">
        <v>4</v>
      </c>
      <c r="Y201" s="4">
        <v>4</v>
      </c>
      <c r="Z201" s="5">
        <v>0</v>
      </c>
    </row>
    <row r="202" spans="1:26" x14ac:dyDescent="0.35">
      <c r="A202" s="38"/>
      <c r="B202" s="27"/>
      <c r="C202" s="28" t="s">
        <v>206</v>
      </c>
      <c r="D202" s="29"/>
      <c r="E202" s="30" t="s">
        <v>17</v>
      </c>
      <c r="F202" s="31"/>
      <c r="G202" s="4">
        <v>2</v>
      </c>
      <c r="H202" s="4">
        <v>2</v>
      </c>
      <c r="I202" s="4">
        <v>2</v>
      </c>
      <c r="J202" s="4">
        <v>2</v>
      </c>
      <c r="K202" s="4">
        <v>2</v>
      </c>
      <c r="L202" s="4">
        <v>2</v>
      </c>
      <c r="M202" s="4">
        <v>2</v>
      </c>
      <c r="N202" s="4">
        <v>2</v>
      </c>
      <c r="O202" s="4">
        <v>2</v>
      </c>
      <c r="P202" s="4">
        <v>2</v>
      </c>
      <c r="Q202" s="4">
        <v>2</v>
      </c>
      <c r="R202" s="4">
        <v>2</v>
      </c>
      <c r="S202" s="4">
        <v>2</v>
      </c>
      <c r="T202" s="4">
        <v>2</v>
      </c>
      <c r="U202" s="4">
        <v>2</v>
      </c>
      <c r="V202" s="4">
        <v>2</v>
      </c>
      <c r="W202" s="4">
        <v>2</v>
      </c>
      <c r="X202" s="4">
        <v>2</v>
      </c>
      <c r="Y202" s="4">
        <v>2</v>
      </c>
      <c r="Z202" s="5">
        <v>0</v>
      </c>
    </row>
    <row r="203" spans="1:26" x14ac:dyDescent="0.35">
      <c r="A203" s="38"/>
      <c r="B203" s="27"/>
      <c r="C203" s="28" t="s">
        <v>207</v>
      </c>
      <c r="D203" s="29"/>
      <c r="E203" s="30" t="s">
        <v>94</v>
      </c>
      <c r="F203" s="31"/>
      <c r="G203" s="4">
        <v>2</v>
      </c>
      <c r="H203" s="4">
        <v>2</v>
      </c>
      <c r="I203" s="4">
        <v>2</v>
      </c>
      <c r="J203" s="4">
        <v>2</v>
      </c>
      <c r="K203" s="4">
        <v>2</v>
      </c>
      <c r="L203" s="4">
        <v>2</v>
      </c>
      <c r="M203" s="4">
        <v>2</v>
      </c>
      <c r="N203" s="4">
        <v>2</v>
      </c>
      <c r="O203" s="4">
        <v>2</v>
      </c>
      <c r="P203" s="4">
        <v>2</v>
      </c>
      <c r="Q203" s="4">
        <v>2</v>
      </c>
      <c r="R203" s="4">
        <v>2</v>
      </c>
      <c r="S203" s="4">
        <v>2</v>
      </c>
      <c r="T203" s="4">
        <v>2</v>
      </c>
      <c r="U203" s="4">
        <v>2</v>
      </c>
      <c r="V203" s="4">
        <v>2</v>
      </c>
      <c r="W203" s="4">
        <v>2</v>
      </c>
      <c r="X203" s="4">
        <v>2</v>
      </c>
      <c r="Y203" s="4">
        <v>2</v>
      </c>
      <c r="Z203" s="5">
        <v>0</v>
      </c>
    </row>
    <row r="204" spans="1:26" x14ac:dyDescent="0.35">
      <c r="A204" s="38"/>
      <c r="B204" s="27"/>
      <c r="C204" s="28" t="s">
        <v>208</v>
      </c>
      <c r="D204" s="29"/>
      <c r="E204" s="30" t="s">
        <v>96</v>
      </c>
      <c r="F204" s="31"/>
      <c r="G204" s="4">
        <v>2</v>
      </c>
      <c r="H204" s="4">
        <v>2</v>
      </c>
      <c r="I204" s="4">
        <v>2</v>
      </c>
      <c r="J204" s="4">
        <v>2</v>
      </c>
      <c r="K204" s="4">
        <v>2</v>
      </c>
      <c r="L204" s="4">
        <v>2</v>
      </c>
      <c r="M204" s="4">
        <v>2</v>
      </c>
      <c r="N204" s="4">
        <v>2</v>
      </c>
      <c r="O204" s="4">
        <v>2</v>
      </c>
      <c r="P204" s="4">
        <v>2</v>
      </c>
      <c r="Q204" s="4">
        <v>2</v>
      </c>
      <c r="R204" s="4">
        <v>2</v>
      </c>
      <c r="S204" s="4">
        <v>2</v>
      </c>
      <c r="T204" s="4">
        <v>2</v>
      </c>
      <c r="U204" s="4">
        <v>2</v>
      </c>
      <c r="V204" s="4">
        <v>2</v>
      </c>
      <c r="W204" s="4">
        <v>2</v>
      </c>
      <c r="X204" s="4">
        <v>2</v>
      </c>
      <c r="Y204" s="4">
        <v>2</v>
      </c>
      <c r="Z204" s="5">
        <v>0</v>
      </c>
    </row>
    <row r="205" spans="1:26" x14ac:dyDescent="0.35">
      <c r="A205" s="38"/>
      <c r="B205" s="27"/>
      <c r="C205" s="28" t="s">
        <v>209</v>
      </c>
      <c r="D205" s="29"/>
      <c r="E205" s="30" t="s">
        <v>95</v>
      </c>
      <c r="F205" s="31"/>
      <c r="G205" s="4">
        <v>2</v>
      </c>
      <c r="H205" s="4">
        <v>2</v>
      </c>
      <c r="I205" s="4">
        <v>2</v>
      </c>
      <c r="J205" s="4">
        <v>2</v>
      </c>
      <c r="K205" s="4">
        <v>2</v>
      </c>
      <c r="L205" s="4">
        <v>2</v>
      </c>
      <c r="M205" s="4">
        <v>2</v>
      </c>
      <c r="N205" s="4">
        <v>2</v>
      </c>
      <c r="O205" s="4">
        <v>2</v>
      </c>
      <c r="P205" s="4">
        <v>2</v>
      </c>
      <c r="Q205" s="4">
        <v>2</v>
      </c>
      <c r="R205" s="4">
        <v>2</v>
      </c>
      <c r="S205" s="4">
        <v>2</v>
      </c>
      <c r="T205" s="4">
        <v>2</v>
      </c>
      <c r="U205" s="4">
        <v>2</v>
      </c>
      <c r="V205" s="4">
        <v>2</v>
      </c>
      <c r="W205" s="4">
        <v>2</v>
      </c>
      <c r="X205" s="4">
        <v>2</v>
      </c>
      <c r="Y205" s="4">
        <v>2</v>
      </c>
      <c r="Z205" s="5">
        <v>0</v>
      </c>
    </row>
    <row r="206" spans="1:26" x14ac:dyDescent="0.35">
      <c r="A206" s="38"/>
      <c r="B206" s="43" t="s">
        <v>12</v>
      </c>
      <c r="C206" s="43"/>
      <c r="D206" s="43"/>
      <c r="E206" s="42" t="s">
        <v>11</v>
      </c>
      <c r="F206" s="42"/>
      <c r="G206" s="30">
        <f>SUM(G108:G205)</f>
        <v>351</v>
      </c>
      <c r="H206" s="31"/>
      <c r="I206" s="4">
        <f t="shared" ref="I206:Y206" si="2">SUM(I108:I205)</f>
        <v>339</v>
      </c>
      <c r="J206" s="4">
        <f t="shared" si="2"/>
        <v>331</v>
      </c>
      <c r="K206" s="4">
        <f t="shared" si="2"/>
        <v>320</v>
      </c>
      <c r="L206" s="4">
        <f t="shared" si="2"/>
        <v>304</v>
      </c>
      <c r="M206" s="4">
        <f t="shared" si="2"/>
        <v>269</v>
      </c>
      <c r="N206" s="4">
        <f t="shared" si="2"/>
        <v>237</v>
      </c>
      <c r="O206" s="4">
        <f t="shared" si="2"/>
        <v>217</v>
      </c>
      <c r="P206" s="4">
        <f t="shared" si="2"/>
        <v>194</v>
      </c>
      <c r="Q206" s="4">
        <f t="shared" si="2"/>
        <v>164</v>
      </c>
      <c r="R206" s="4">
        <f t="shared" si="2"/>
        <v>150</v>
      </c>
      <c r="S206" s="4">
        <f t="shared" si="2"/>
        <v>132</v>
      </c>
      <c r="T206" s="4">
        <f t="shared" si="2"/>
        <v>113</v>
      </c>
      <c r="U206" s="4">
        <f t="shared" si="2"/>
        <v>88</v>
      </c>
      <c r="V206" s="4">
        <f t="shared" si="2"/>
        <v>72</v>
      </c>
      <c r="W206" s="4">
        <f t="shared" si="2"/>
        <v>51</v>
      </c>
      <c r="X206" s="4">
        <f t="shared" si="2"/>
        <v>26</v>
      </c>
      <c r="Y206" s="4">
        <f t="shared" si="2"/>
        <v>12</v>
      </c>
      <c r="Z206" s="4">
        <f>SUM(Z108:Z205)</f>
        <v>0</v>
      </c>
    </row>
    <row r="207" spans="1:26" x14ac:dyDescent="0.35">
      <c r="A207" s="39"/>
      <c r="B207" s="43"/>
      <c r="C207" s="43"/>
      <c r="D207" s="43"/>
      <c r="E207" s="42" t="s">
        <v>18</v>
      </c>
      <c r="F207" s="42"/>
      <c r="G207" s="30">
        <f>SUM(H108:H205)</f>
        <v>360</v>
      </c>
      <c r="H207" s="31"/>
      <c r="I207" s="4">
        <f t="shared" ref="I207:Y207" si="3">SUM(I18:I102)</f>
        <v>348</v>
      </c>
      <c r="J207" s="4">
        <f t="shared" si="3"/>
        <v>336</v>
      </c>
      <c r="K207" s="4">
        <f t="shared" si="3"/>
        <v>317</v>
      </c>
      <c r="L207" s="4">
        <f t="shared" si="3"/>
        <v>288</v>
      </c>
      <c r="M207" s="4">
        <f t="shared" si="3"/>
        <v>266</v>
      </c>
      <c r="N207" s="4">
        <f t="shared" si="3"/>
        <v>234</v>
      </c>
      <c r="O207" s="4">
        <f t="shared" si="3"/>
        <v>211</v>
      </c>
      <c r="P207" s="4">
        <f t="shared" si="3"/>
        <v>185</v>
      </c>
      <c r="Q207" s="4">
        <f t="shared" si="3"/>
        <v>158</v>
      </c>
      <c r="R207" s="4">
        <f t="shared" si="3"/>
        <v>144</v>
      </c>
      <c r="S207" s="4">
        <f t="shared" si="3"/>
        <v>123</v>
      </c>
      <c r="T207" s="4">
        <f t="shared" si="3"/>
        <v>115</v>
      </c>
      <c r="U207" s="4">
        <f t="shared" si="3"/>
        <v>86</v>
      </c>
      <c r="V207" s="4">
        <f t="shared" si="3"/>
        <v>70</v>
      </c>
      <c r="W207" s="4">
        <f t="shared" si="3"/>
        <v>51</v>
      </c>
      <c r="X207" s="4">
        <f t="shared" si="3"/>
        <v>26</v>
      </c>
      <c r="Y207" s="4">
        <f t="shared" si="3"/>
        <v>12</v>
      </c>
      <c r="Z207" s="4">
        <f>SUM(Z18:Z102)</f>
        <v>0</v>
      </c>
    </row>
  </sheetData>
  <autoFilter ref="A107:Z207" xr:uid="{E1644814-0482-4FFF-A4E5-7232FC052FE1}">
    <filterColumn colId="2" showButton="0"/>
    <filterColumn colId="4" showButton="0"/>
  </autoFilter>
  <mergeCells count="404">
    <mergeCell ref="G206:H206"/>
    <mergeCell ref="G207:H207"/>
    <mergeCell ref="E112:F112"/>
    <mergeCell ref="C112:D112"/>
    <mergeCell ref="C114:D114"/>
    <mergeCell ref="E114:F114"/>
    <mergeCell ref="C116:D116"/>
    <mergeCell ref="E116:F116"/>
    <mergeCell ref="E127:F127"/>
    <mergeCell ref="C127:D127"/>
    <mergeCell ref="C130:D130"/>
    <mergeCell ref="E130:F130"/>
    <mergeCell ref="C133:D133"/>
    <mergeCell ref="E133:F133"/>
    <mergeCell ref="C138:D138"/>
    <mergeCell ref="E138:F138"/>
    <mergeCell ref="C143:D143"/>
    <mergeCell ref="E143:F143"/>
    <mergeCell ref="C148:D148"/>
    <mergeCell ref="E148:F148"/>
    <mergeCell ref="C155:D155"/>
    <mergeCell ref="E155:F155"/>
    <mergeCell ref="C173:D173"/>
    <mergeCell ref="E173:F173"/>
    <mergeCell ref="E203:F203"/>
    <mergeCell ref="E204:F204"/>
    <mergeCell ref="E205:F205"/>
    <mergeCell ref="E206:F206"/>
    <mergeCell ref="B108:B110"/>
    <mergeCell ref="B111:B124"/>
    <mergeCell ref="B125:B153"/>
    <mergeCell ref="B154:B165"/>
    <mergeCell ref="B206:D207"/>
    <mergeCell ref="B201:B205"/>
    <mergeCell ref="B190:B200"/>
    <mergeCell ref="B166:B189"/>
    <mergeCell ref="E207:F207"/>
    <mergeCell ref="C180:D180"/>
    <mergeCell ref="E180:F180"/>
    <mergeCell ref="C140:D140"/>
    <mergeCell ref="E140:F140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75:F175"/>
    <mergeCell ref="E176:F176"/>
    <mergeCell ref="E177:F177"/>
    <mergeCell ref="E178:F178"/>
    <mergeCell ref="E179:F179"/>
    <mergeCell ref="E181:F181"/>
    <mergeCell ref="E182:F182"/>
    <mergeCell ref="E183:F183"/>
    <mergeCell ref="E184:F18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4:F174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45:F145"/>
    <mergeCell ref="E146:F146"/>
    <mergeCell ref="E147:F147"/>
    <mergeCell ref="E149:F149"/>
    <mergeCell ref="E150:F150"/>
    <mergeCell ref="E151:F151"/>
    <mergeCell ref="E152:F152"/>
    <mergeCell ref="E153:F153"/>
    <mergeCell ref="E154:F154"/>
    <mergeCell ref="E132:F132"/>
    <mergeCell ref="E134:F134"/>
    <mergeCell ref="E135:F135"/>
    <mergeCell ref="E136:F136"/>
    <mergeCell ref="E137:F137"/>
    <mergeCell ref="E139:F139"/>
    <mergeCell ref="E141:F141"/>
    <mergeCell ref="E142:F142"/>
    <mergeCell ref="E144:F144"/>
    <mergeCell ref="C203:D203"/>
    <mergeCell ref="C204:D204"/>
    <mergeCell ref="C205:D205"/>
    <mergeCell ref="E108:F108"/>
    <mergeCell ref="E109:F109"/>
    <mergeCell ref="E110:F110"/>
    <mergeCell ref="E111:F111"/>
    <mergeCell ref="E113:F113"/>
    <mergeCell ref="E115:F115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8:F128"/>
    <mergeCell ref="E129:F129"/>
    <mergeCell ref="E131:F131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75:D175"/>
    <mergeCell ref="C176:D176"/>
    <mergeCell ref="C177:D177"/>
    <mergeCell ref="C178:D178"/>
    <mergeCell ref="C179:D179"/>
    <mergeCell ref="C181:D181"/>
    <mergeCell ref="C182:D182"/>
    <mergeCell ref="C183:D183"/>
    <mergeCell ref="C184:D18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4:D174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45:D145"/>
    <mergeCell ref="C146:D146"/>
    <mergeCell ref="C147:D147"/>
    <mergeCell ref="C149:D149"/>
    <mergeCell ref="C150:D150"/>
    <mergeCell ref="C151:D151"/>
    <mergeCell ref="C152:D152"/>
    <mergeCell ref="C153:D153"/>
    <mergeCell ref="C154:D154"/>
    <mergeCell ref="C115:D115"/>
    <mergeCell ref="A108:A207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8:D128"/>
    <mergeCell ref="C129:D129"/>
    <mergeCell ref="C131:D131"/>
    <mergeCell ref="C132:D132"/>
    <mergeCell ref="C134:D134"/>
    <mergeCell ref="C135:D135"/>
    <mergeCell ref="C136:D136"/>
    <mergeCell ref="C137:D137"/>
    <mergeCell ref="C139:D139"/>
    <mergeCell ref="C141:D141"/>
    <mergeCell ref="C142:D142"/>
    <mergeCell ref="C144:D144"/>
    <mergeCell ref="A106:Z106"/>
    <mergeCell ref="C107:D107"/>
    <mergeCell ref="E107:F107"/>
    <mergeCell ref="C108:D108"/>
    <mergeCell ref="C109:D109"/>
    <mergeCell ref="C110:D110"/>
    <mergeCell ref="C111:D111"/>
    <mergeCell ref="C113:D113"/>
    <mergeCell ref="E101:F101"/>
    <mergeCell ref="C102:D102"/>
    <mergeCell ref="E102:F102"/>
    <mergeCell ref="B103:D104"/>
    <mergeCell ref="E103:F103"/>
    <mergeCell ref="G103:H103"/>
    <mergeCell ref="E104:F104"/>
    <mergeCell ref="G104:H104"/>
    <mergeCell ref="B98:B102"/>
    <mergeCell ref="C98:D98"/>
    <mergeCell ref="E98:F98"/>
    <mergeCell ref="C99:D99"/>
    <mergeCell ref="E99:F99"/>
    <mergeCell ref="C100:D100"/>
    <mergeCell ref="E100:F100"/>
    <mergeCell ref="C101:D101"/>
    <mergeCell ref="E89:F89"/>
    <mergeCell ref="C90:D90"/>
    <mergeCell ref="E90:F90"/>
    <mergeCell ref="C91:D91"/>
    <mergeCell ref="E91:F91"/>
    <mergeCell ref="C92:D92"/>
    <mergeCell ref="E92:F92"/>
    <mergeCell ref="B87:B97"/>
    <mergeCell ref="C87:D87"/>
    <mergeCell ref="E87:F87"/>
    <mergeCell ref="C88:D88"/>
    <mergeCell ref="E88:F88"/>
    <mergeCell ref="C89:D89"/>
    <mergeCell ref="C96:D96"/>
    <mergeCell ref="E96:F96"/>
    <mergeCell ref="C97:D97"/>
    <mergeCell ref="E97:F97"/>
    <mergeCell ref="C93:D93"/>
    <mergeCell ref="E93:F93"/>
    <mergeCell ref="C94:D94"/>
    <mergeCell ref="E94:F94"/>
    <mergeCell ref="C95:D95"/>
    <mergeCell ref="E95:F95"/>
    <mergeCell ref="C86:D86"/>
    <mergeCell ref="E86:F86"/>
    <mergeCell ref="C83:D83"/>
    <mergeCell ref="E83:F83"/>
    <mergeCell ref="C84:D84"/>
    <mergeCell ref="E84:F84"/>
    <mergeCell ref="C85:D85"/>
    <mergeCell ref="E85:F85"/>
    <mergeCell ref="C80:D80"/>
    <mergeCell ref="E80:F80"/>
    <mergeCell ref="C81:D81"/>
    <mergeCell ref="E81:F81"/>
    <mergeCell ref="C82:D82"/>
    <mergeCell ref="E82:F82"/>
    <mergeCell ref="E70:F70"/>
    <mergeCell ref="C77:D77"/>
    <mergeCell ref="E77:F77"/>
    <mergeCell ref="C78:D78"/>
    <mergeCell ref="E78:F78"/>
    <mergeCell ref="C79:D79"/>
    <mergeCell ref="E79:F79"/>
    <mergeCell ref="C74:D74"/>
    <mergeCell ref="E74:F74"/>
    <mergeCell ref="C75:D75"/>
    <mergeCell ref="E75:F75"/>
    <mergeCell ref="C76:D76"/>
    <mergeCell ref="E76:F76"/>
    <mergeCell ref="B65:B86"/>
    <mergeCell ref="C65:D65"/>
    <mergeCell ref="E65:F65"/>
    <mergeCell ref="C66:D66"/>
    <mergeCell ref="E66:F66"/>
    <mergeCell ref="C67:D67"/>
    <mergeCell ref="C62:D62"/>
    <mergeCell ref="E62:F62"/>
    <mergeCell ref="C63:D63"/>
    <mergeCell ref="E63:F63"/>
    <mergeCell ref="C64:D64"/>
    <mergeCell ref="E64:F64"/>
    <mergeCell ref="C71:D71"/>
    <mergeCell ref="E71:F71"/>
    <mergeCell ref="C72:D72"/>
    <mergeCell ref="E72:F72"/>
    <mergeCell ref="C73:D73"/>
    <mergeCell ref="E73:F73"/>
    <mergeCell ref="E67:F67"/>
    <mergeCell ref="C68:D68"/>
    <mergeCell ref="E68:F68"/>
    <mergeCell ref="C69:D69"/>
    <mergeCell ref="E69:F69"/>
    <mergeCell ref="C70:D70"/>
    <mergeCell ref="C59:D59"/>
    <mergeCell ref="E59:F59"/>
    <mergeCell ref="C60:D60"/>
    <mergeCell ref="E60:F60"/>
    <mergeCell ref="C61:D61"/>
    <mergeCell ref="E61:F61"/>
    <mergeCell ref="B54:B64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C53:D53"/>
    <mergeCell ref="E53:F53"/>
    <mergeCell ref="C49:D49"/>
    <mergeCell ref="E49:F49"/>
    <mergeCell ref="C50:D50"/>
    <mergeCell ref="E50:F50"/>
    <mergeCell ref="C51:D51"/>
    <mergeCell ref="E51:F51"/>
    <mergeCell ref="E58:F58"/>
    <mergeCell ref="C48:D48"/>
    <mergeCell ref="E48:F48"/>
    <mergeCell ref="C43:D43"/>
    <mergeCell ref="E43:F43"/>
    <mergeCell ref="C44:D44"/>
    <mergeCell ref="E44:F44"/>
    <mergeCell ref="C45:D45"/>
    <mergeCell ref="E45:F45"/>
    <mergeCell ref="C52:D52"/>
    <mergeCell ref="E52:F52"/>
    <mergeCell ref="C37:D37"/>
    <mergeCell ref="E37:F37"/>
    <mergeCell ref="C38:D38"/>
    <mergeCell ref="E38:F38"/>
    <mergeCell ref="C39:D39"/>
    <mergeCell ref="E39:F39"/>
    <mergeCell ref="C46:D46"/>
    <mergeCell ref="E46:F46"/>
    <mergeCell ref="C47:D47"/>
    <mergeCell ref="E47:F47"/>
    <mergeCell ref="E30:F30"/>
    <mergeCell ref="C25:D25"/>
    <mergeCell ref="E25:F25"/>
    <mergeCell ref="C26:D26"/>
    <mergeCell ref="E26:F26"/>
    <mergeCell ref="C27:D27"/>
    <mergeCell ref="E27:F27"/>
    <mergeCell ref="B32:B53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C40:D40"/>
    <mergeCell ref="E40:F40"/>
    <mergeCell ref="C41:D41"/>
    <mergeCell ref="E41:F41"/>
    <mergeCell ref="C42:D42"/>
    <mergeCell ref="E42:F42"/>
    <mergeCell ref="E36:F36"/>
    <mergeCell ref="A18:A104"/>
    <mergeCell ref="B18:B20"/>
    <mergeCell ref="C18:D18"/>
    <mergeCell ref="E18:F18"/>
    <mergeCell ref="C19:D19"/>
    <mergeCell ref="E19:F19"/>
    <mergeCell ref="C20:D20"/>
    <mergeCell ref="E20:F20"/>
    <mergeCell ref="B21:B31"/>
    <mergeCell ref="C21:D21"/>
    <mergeCell ref="E21:F21"/>
    <mergeCell ref="C22:D22"/>
    <mergeCell ref="E22:F22"/>
    <mergeCell ref="C23:D23"/>
    <mergeCell ref="E23:F23"/>
    <mergeCell ref="C24:D24"/>
    <mergeCell ref="E24:F24"/>
    <mergeCell ref="C31:D31"/>
    <mergeCell ref="E31:F31"/>
    <mergeCell ref="C28:D28"/>
    <mergeCell ref="E28:F28"/>
    <mergeCell ref="C29:D29"/>
    <mergeCell ref="E29:F29"/>
    <mergeCell ref="C30:D30"/>
    <mergeCell ref="A1:B1"/>
    <mergeCell ref="A2:B2"/>
    <mergeCell ref="A3:B3"/>
    <mergeCell ref="A4:B4"/>
    <mergeCell ref="B8:E8"/>
    <mergeCell ref="B15:C15"/>
    <mergeCell ref="A16:Z16"/>
    <mergeCell ref="C17:D17"/>
    <mergeCell ref="E17:F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F72D-FD19-4FB1-9E81-13F332AD79D7}">
  <dimension ref="A1:X222"/>
  <sheetViews>
    <sheetView tabSelected="1" topLeftCell="A137" zoomScale="70" zoomScaleNormal="70" workbookViewId="0">
      <selection activeCell="D10" sqref="D10"/>
    </sheetView>
  </sheetViews>
  <sheetFormatPr defaultRowHeight="16.5" x14ac:dyDescent="0.35"/>
  <cols>
    <col min="1" max="1" width="15.54296875" style="1" customWidth="1"/>
    <col min="2" max="2" width="19.7265625" style="1" customWidth="1"/>
    <col min="3" max="3" width="50.6328125" style="1" customWidth="1"/>
    <col min="4" max="5" width="10.7265625" style="1" customWidth="1"/>
    <col min="6" max="6" width="17.90625" style="1" customWidth="1"/>
    <col min="7" max="38" width="5.6328125" style="1" customWidth="1"/>
    <col min="39" max="16384" width="8.7265625" style="1"/>
  </cols>
  <sheetData>
    <row r="1" spans="1:24" ht="33" x14ac:dyDescent="0.35">
      <c r="A1" s="33" t="s">
        <v>3</v>
      </c>
      <c r="B1" s="33"/>
      <c r="C1" s="16" t="s">
        <v>281</v>
      </c>
      <c r="E1" s="5"/>
      <c r="F1" s="13" t="s">
        <v>280</v>
      </c>
    </row>
    <row r="2" spans="1:24" ht="16" customHeight="1" x14ac:dyDescent="0.35">
      <c r="A2" s="34" t="s">
        <v>2</v>
      </c>
      <c r="B2" s="34"/>
      <c r="C2" s="4" t="s">
        <v>272</v>
      </c>
      <c r="E2" s="7"/>
      <c r="F2" s="14" t="s">
        <v>21</v>
      </c>
    </row>
    <row r="3" spans="1:24" ht="16" customHeight="1" x14ac:dyDescent="0.35">
      <c r="A3" s="34" t="s">
        <v>1</v>
      </c>
      <c r="B3" s="34"/>
      <c r="C3" s="17" t="s">
        <v>221</v>
      </c>
      <c r="E3" s="6"/>
      <c r="F3" s="15" t="s">
        <v>20</v>
      </c>
    </row>
    <row r="4" spans="1:24" ht="16" customHeight="1" x14ac:dyDescent="0.35">
      <c r="A4" s="34" t="s">
        <v>0</v>
      </c>
      <c r="B4" s="34"/>
      <c r="C4" s="17" t="s">
        <v>271</v>
      </c>
    </row>
    <row r="5" spans="1:24" ht="16" customHeight="1" x14ac:dyDescent="0.35"/>
    <row r="6" spans="1:24" ht="16" customHeight="1" x14ac:dyDescent="0.35"/>
    <row r="7" spans="1:24" ht="14.5" customHeight="1" x14ac:dyDescent="0.35">
      <c r="E7" s="9"/>
      <c r="F7" s="10"/>
    </row>
    <row r="8" spans="1:24" ht="16.5" customHeight="1" x14ac:dyDescent="0.35">
      <c r="B8" s="35" t="s">
        <v>5</v>
      </c>
      <c r="C8" s="35"/>
      <c r="D8" s="35"/>
      <c r="E8" s="35"/>
      <c r="F8" s="11"/>
    </row>
    <row r="9" spans="1:24" ht="16.5" customHeight="1" x14ac:dyDescent="0.35">
      <c r="B9" s="19" t="s">
        <v>6</v>
      </c>
      <c r="C9" s="19" t="s">
        <v>19</v>
      </c>
      <c r="D9" s="19" t="s">
        <v>11</v>
      </c>
      <c r="E9" s="19" t="s">
        <v>18</v>
      </c>
      <c r="F9" s="11"/>
    </row>
    <row r="10" spans="1:24" ht="16.5" customHeight="1" x14ac:dyDescent="0.35">
      <c r="B10" s="8">
        <v>1</v>
      </c>
      <c r="C10" s="4" t="s">
        <v>22</v>
      </c>
      <c r="D10" s="4">
        <f ca="1">ROUND(SUMIF($E$73:$F$132,"H.Thắng",$G$73:$G$132)+SUMIF($E$73:$F$132,"All team",$G$73:$G$132)/5,1)</f>
        <v>102</v>
      </c>
      <c r="E10" s="23">
        <f ca="1">ROUND(SUMIF($E$18:$F$67,"H.Thắng",$H$18:$H$67)+SUMIF($E$18:$F$67,"All team",$H$18:$H$67)/5,1)</f>
        <v>106</v>
      </c>
      <c r="F10" s="11"/>
    </row>
    <row r="11" spans="1:24" ht="16.5" customHeight="1" x14ac:dyDescent="0.35">
      <c r="B11" s="8">
        <v>2</v>
      </c>
      <c r="C11" s="20" t="s">
        <v>151</v>
      </c>
      <c r="D11" s="4">
        <f ca="1">ROUND(SUMIF($E$73:$F$132,"Q.Thắng",$G$73:$G$132)+SUMIF($E$73:$F$132,"All team",$G$73:$G$132)/5,1)</f>
        <v>35</v>
      </c>
      <c r="E11" s="23">
        <f ca="1">ROUND(SUMIF($E$18:$F$67,"Q.Thắng",$H$18:$H$67)+SUMIF($E$18:$F$67,"All team",$H$18:$H$67)/5,1)</f>
        <v>35</v>
      </c>
      <c r="F11" s="12"/>
    </row>
    <row r="12" spans="1:24" x14ac:dyDescent="0.35">
      <c r="B12" s="8">
        <v>3</v>
      </c>
      <c r="C12" s="20" t="s">
        <v>152</v>
      </c>
      <c r="D12" s="4">
        <f ca="1">ROUND(SUMIF($E$73:$F$132,"Nhung",$G$73:$G$132)+SUMIF($E$73:$F$132,"All team",$G$73:$G$132)/5,1)</f>
        <v>44</v>
      </c>
      <c r="E12" s="23">
        <f ca="1">ROUND(SUMIF($E$18:$F$67,"Nhung",$H$18:$H$67)+SUMIF($E$18:$F$67,"All team",$H$18:$H$67)/5,1)</f>
        <v>45</v>
      </c>
    </row>
    <row r="13" spans="1:24" x14ac:dyDescent="0.35">
      <c r="B13" s="22">
        <v>4</v>
      </c>
      <c r="C13" s="20" t="s">
        <v>153</v>
      </c>
      <c r="D13" s="4">
        <f ca="1">ROUND(SUMIF($E$73:$F$132,"Nam",$G$73:$G$132)+SUMIF($E$73:$F$132,"All team",$G$73:$G$132)/5,1)</f>
        <v>48</v>
      </c>
      <c r="E13" s="23">
        <f ca="1">ROUND(SUMIF($E$18:$F$67,"Nam",$H$18:$H$67)+SUMIF($E$18:$F$67,"All team",$H$18:$H$67)/5,1)</f>
        <v>45</v>
      </c>
    </row>
    <row r="14" spans="1:24" x14ac:dyDescent="0.35">
      <c r="B14" s="8">
        <v>5</v>
      </c>
      <c r="C14" s="20" t="s">
        <v>154</v>
      </c>
      <c r="D14" s="4">
        <f ca="1">ROUND(SUMIF($E$73:$F$132,"Thúy",$G$73:$G$132)+SUMIF($E$73:$F$132,"All team",$G$73:$G$132)/5,1)</f>
        <v>32</v>
      </c>
      <c r="E14" s="23">
        <f ca="1">ROUND(SUMIF($E$18:$F$67,"Thúy",$H$18:$H$67)+SUMIF($E$18:$F$67,"All team",$H$18:$H$67)/5,1)</f>
        <v>34</v>
      </c>
    </row>
    <row r="15" spans="1:24" x14ac:dyDescent="0.35">
      <c r="B15" s="36" t="s">
        <v>23</v>
      </c>
      <c r="C15" s="36"/>
      <c r="D15" s="25">
        <f ca="1">SUM(D10:D14)</f>
        <v>261</v>
      </c>
      <c r="E15" s="24">
        <f ca="1">SUM(E10:E14)</f>
        <v>265</v>
      </c>
    </row>
    <row r="16" spans="1:24" ht="30" customHeight="1" x14ac:dyDescent="0.5">
      <c r="A16" s="44" t="s">
        <v>88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</row>
    <row r="17" spans="1:24" ht="55" customHeight="1" x14ac:dyDescent="0.35">
      <c r="A17" s="21" t="s">
        <v>7</v>
      </c>
      <c r="B17" s="21" t="s">
        <v>8</v>
      </c>
      <c r="C17" s="32" t="s">
        <v>9</v>
      </c>
      <c r="D17" s="32"/>
      <c r="E17" s="32" t="s">
        <v>10</v>
      </c>
      <c r="F17" s="32"/>
      <c r="G17" s="2" t="s">
        <v>11</v>
      </c>
      <c r="H17" s="2" t="s">
        <v>18</v>
      </c>
      <c r="I17" s="3">
        <v>46140</v>
      </c>
      <c r="J17" s="3">
        <v>46141</v>
      </c>
      <c r="K17" s="3">
        <v>46142</v>
      </c>
      <c r="L17" s="3">
        <v>46143</v>
      </c>
      <c r="M17" s="3">
        <v>46144</v>
      </c>
      <c r="N17" s="3">
        <v>46145</v>
      </c>
      <c r="O17" s="3">
        <v>46146</v>
      </c>
      <c r="P17" s="3">
        <v>46147</v>
      </c>
      <c r="Q17" s="3">
        <v>46148</v>
      </c>
      <c r="R17" s="3">
        <v>46149</v>
      </c>
      <c r="S17" s="3">
        <v>46150</v>
      </c>
      <c r="T17" s="3">
        <v>46151</v>
      </c>
      <c r="U17" s="3">
        <v>46152</v>
      </c>
      <c r="V17" s="3">
        <v>46153</v>
      </c>
      <c r="W17" s="3">
        <v>46154</v>
      </c>
      <c r="X17" s="3">
        <v>46155</v>
      </c>
    </row>
    <row r="18" spans="1:24" x14ac:dyDescent="0.35">
      <c r="A18" s="37" t="s">
        <v>272</v>
      </c>
      <c r="B18" s="37" t="s">
        <v>218</v>
      </c>
      <c r="C18" s="51" t="s">
        <v>91</v>
      </c>
      <c r="D18" s="52"/>
      <c r="E18" s="30" t="s">
        <v>17</v>
      </c>
      <c r="F18" s="31"/>
      <c r="G18" s="4">
        <v>4</v>
      </c>
      <c r="H18" s="4">
        <v>4</v>
      </c>
      <c r="I18" s="5">
        <v>0</v>
      </c>
      <c r="J18" s="18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1:24" x14ac:dyDescent="0.35">
      <c r="A19" s="27"/>
      <c r="B19" s="27"/>
      <c r="C19" s="53" t="s">
        <v>219</v>
      </c>
      <c r="D19" s="53"/>
      <c r="E19" s="30" t="s">
        <v>94</v>
      </c>
      <c r="F19" s="31"/>
      <c r="G19" s="4">
        <v>4</v>
      </c>
      <c r="H19" s="4">
        <v>4</v>
      </c>
      <c r="I19" s="5">
        <v>0</v>
      </c>
      <c r="J19" s="18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1:24" x14ac:dyDescent="0.35">
      <c r="A20" s="38"/>
      <c r="B20" s="39"/>
      <c r="C20" s="54" t="s">
        <v>220</v>
      </c>
      <c r="D20" s="55"/>
      <c r="E20" s="30" t="s">
        <v>95</v>
      </c>
      <c r="F20" s="31"/>
      <c r="G20" s="4">
        <v>4</v>
      </c>
      <c r="H20" s="4">
        <v>4</v>
      </c>
      <c r="I20" s="5">
        <v>0</v>
      </c>
      <c r="J20" s="18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spans="1:24" x14ac:dyDescent="0.35">
      <c r="A21" s="38"/>
      <c r="B21" s="27" t="s">
        <v>13</v>
      </c>
      <c r="C21" s="28" t="s">
        <v>222</v>
      </c>
      <c r="D21" s="29"/>
      <c r="E21" s="30" t="s">
        <v>96</v>
      </c>
      <c r="F21" s="31"/>
      <c r="G21" s="4">
        <v>4</v>
      </c>
      <c r="H21" s="4">
        <v>4</v>
      </c>
      <c r="I21" s="4">
        <v>4</v>
      </c>
      <c r="J21" s="5">
        <v>0</v>
      </c>
      <c r="K21" s="18">
        <v>0</v>
      </c>
      <c r="L21" s="18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 spans="1:24" x14ac:dyDescent="0.35">
      <c r="A22" s="38"/>
      <c r="B22" s="27"/>
      <c r="C22" s="28" t="s">
        <v>223</v>
      </c>
      <c r="D22" s="29"/>
      <c r="E22" s="30" t="s">
        <v>95</v>
      </c>
      <c r="F22" s="31"/>
      <c r="G22" s="4">
        <v>5</v>
      </c>
      <c r="H22" s="4">
        <v>5</v>
      </c>
      <c r="I22" s="4">
        <v>5</v>
      </c>
      <c r="J22" s="4">
        <v>5</v>
      </c>
      <c r="K22" s="4">
        <v>5</v>
      </c>
      <c r="L22" s="5">
        <v>0</v>
      </c>
      <c r="M22" s="18">
        <v>0</v>
      </c>
      <c r="N22" s="18">
        <v>0</v>
      </c>
      <c r="O22" s="18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1:24" x14ac:dyDescent="0.35">
      <c r="A23" s="38"/>
      <c r="B23" s="27"/>
      <c r="C23" s="28" t="s">
        <v>273</v>
      </c>
      <c r="D23" s="29"/>
      <c r="E23" s="30" t="s">
        <v>96</v>
      </c>
      <c r="F23" s="31"/>
      <c r="G23" s="4">
        <v>4</v>
      </c>
      <c r="H23" s="4">
        <v>4</v>
      </c>
      <c r="I23" s="4">
        <v>4</v>
      </c>
      <c r="J23" s="4">
        <v>4</v>
      </c>
      <c r="K23" s="4">
        <v>4</v>
      </c>
      <c r="L23" s="4">
        <v>4</v>
      </c>
      <c r="M23" s="4">
        <v>4</v>
      </c>
      <c r="N23" s="4">
        <v>4</v>
      </c>
      <c r="O23" s="5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 spans="1:24" x14ac:dyDescent="0.35">
      <c r="A24" s="38"/>
      <c r="B24" s="27"/>
      <c r="C24" s="28" t="s">
        <v>224</v>
      </c>
      <c r="D24" s="29"/>
      <c r="E24" s="30" t="s">
        <v>95</v>
      </c>
      <c r="F24" s="31"/>
      <c r="G24" s="4">
        <v>6</v>
      </c>
      <c r="H24" s="4">
        <v>6</v>
      </c>
      <c r="I24" s="4">
        <v>6</v>
      </c>
      <c r="J24" s="4">
        <v>6</v>
      </c>
      <c r="K24" s="4">
        <v>6</v>
      </c>
      <c r="L24" s="4">
        <v>6</v>
      </c>
      <c r="M24" s="4">
        <v>6</v>
      </c>
      <c r="N24" s="4">
        <v>6</v>
      </c>
      <c r="O24" s="4">
        <v>6</v>
      </c>
      <c r="P24" s="5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</row>
    <row r="25" spans="1:24" x14ac:dyDescent="0.35">
      <c r="A25" s="38"/>
      <c r="B25" s="27"/>
      <c r="C25" s="28" t="s">
        <v>225</v>
      </c>
      <c r="D25" s="29"/>
      <c r="E25" s="30" t="s">
        <v>96</v>
      </c>
      <c r="F25" s="31"/>
      <c r="G25" s="4">
        <v>4</v>
      </c>
      <c r="H25" s="4">
        <v>4</v>
      </c>
      <c r="I25" s="4">
        <v>4</v>
      </c>
      <c r="J25" s="4">
        <v>4</v>
      </c>
      <c r="K25" s="4">
        <v>4</v>
      </c>
      <c r="L25" s="4">
        <v>4</v>
      </c>
      <c r="M25" s="4">
        <v>4</v>
      </c>
      <c r="N25" s="4">
        <v>4</v>
      </c>
      <c r="O25" s="4">
        <v>4</v>
      </c>
      <c r="P25" s="4">
        <v>4</v>
      </c>
      <c r="Q25" s="4">
        <v>4</v>
      </c>
      <c r="R25" s="4">
        <v>4</v>
      </c>
      <c r="S25" s="5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</row>
    <row r="26" spans="1:24" x14ac:dyDescent="0.35">
      <c r="A26" s="38"/>
      <c r="B26" s="27"/>
      <c r="C26" s="28" t="s">
        <v>226</v>
      </c>
      <c r="D26" s="29"/>
      <c r="E26" s="30" t="s">
        <v>95</v>
      </c>
      <c r="F26" s="31"/>
      <c r="G26" s="4">
        <v>4</v>
      </c>
      <c r="H26" s="4">
        <v>4</v>
      </c>
      <c r="I26" s="4">
        <v>4</v>
      </c>
      <c r="J26" s="4">
        <v>4</v>
      </c>
      <c r="K26" s="4">
        <v>4</v>
      </c>
      <c r="L26" s="4">
        <v>4</v>
      </c>
      <c r="M26" s="4">
        <v>4</v>
      </c>
      <c r="N26" s="4">
        <v>4</v>
      </c>
      <c r="O26" s="4">
        <v>4</v>
      </c>
      <c r="P26" s="4">
        <v>4</v>
      </c>
      <c r="Q26" s="4">
        <v>4</v>
      </c>
      <c r="R26" s="4">
        <v>4</v>
      </c>
      <c r="S26" s="4">
        <v>4</v>
      </c>
      <c r="T26" s="4">
        <v>4</v>
      </c>
      <c r="U26" s="5">
        <v>0</v>
      </c>
      <c r="V26" s="4">
        <v>0</v>
      </c>
      <c r="W26" s="4">
        <v>0</v>
      </c>
      <c r="X26" s="4">
        <v>0</v>
      </c>
    </row>
    <row r="27" spans="1:24" x14ac:dyDescent="0.35">
      <c r="A27" s="27"/>
      <c r="B27" s="27" t="s">
        <v>14</v>
      </c>
      <c r="C27" s="53" t="s">
        <v>227</v>
      </c>
      <c r="D27" s="53"/>
      <c r="E27" s="30" t="s">
        <v>94</v>
      </c>
      <c r="F27" s="31"/>
      <c r="G27" s="4">
        <v>10</v>
      </c>
      <c r="H27" s="4">
        <v>10</v>
      </c>
      <c r="I27" s="4">
        <v>10</v>
      </c>
      <c r="J27" s="4">
        <v>1</v>
      </c>
      <c r="K27" s="5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 x14ac:dyDescent="0.35">
      <c r="A28" s="38"/>
      <c r="B28" s="38"/>
      <c r="C28" s="56" t="s">
        <v>228</v>
      </c>
      <c r="D28" s="57"/>
      <c r="E28" s="30" t="s">
        <v>103</v>
      </c>
      <c r="F28" s="31"/>
      <c r="G28" s="4">
        <v>8</v>
      </c>
      <c r="H28" s="4">
        <v>8</v>
      </c>
      <c r="I28" s="4">
        <v>8</v>
      </c>
      <c r="J28" s="4">
        <v>8</v>
      </c>
      <c r="K28" s="5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r="29" spans="1:24" x14ac:dyDescent="0.35">
      <c r="A29" s="27"/>
      <c r="B29" s="27"/>
      <c r="C29" s="53" t="s">
        <v>229</v>
      </c>
      <c r="D29" s="53"/>
      <c r="E29" s="30" t="s">
        <v>94</v>
      </c>
      <c r="F29" s="31"/>
      <c r="G29" s="4">
        <v>14</v>
      </c>
      <c r="H29" s="4">
        <v>14</v>
      </c>
      <c r="I29" s="4">
        <v>14</v>
      </c>
      <c r="J29" s="4">
        <v>14</v>
      </c>
      <c r="K29" s="4">
        <v>14</v>
      </c>
      <c r="L29" s="4">
        <v>9</v>
      </c>
      <c r="M29" s="5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 spans="1:24" x14ac:dyDescent="0.35">
      <c r="A30" s="38"/>
      <c r="B30" s="38"/>
      <c r="C30" s="56" t="s">
        <v>230</v>
      </c>
      <c r="D30" s="57"/>
      <c r="E30" s="30" t="s">
        <v>104</v>
      </c>
      <c r="F30" s="31"/>
      <c r="G30" s="4">
        <v>10</v>
      </c>
      <c r="H30" s="4">
        <v>10</v>
      </c>
      <c r="I30" s="4">
        <v>10</v>
      </c>
      <c r="J30" s="4">
        <v>10</v>
      </c>
      <c r="K30" s="4">
        <v>10</v>
      </c>
      <c r="L30" s="4">
        <v>10</v>
      </c>
      <c r="M30" s="4">
        <v>1</v>
      </c>
      <c r="N30" s="5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</row>
    <row r="31" spans="1:24" x14ac:dyDescent="0.35">
      <c r="A31" s="27"/>
      <c r="B31" s="27"/>
      <c r="C31" s="53" t="s">
        <v>274</v>
      </c>
      <c r="D31" s="53"/>
      <c r="E31" s="30" t="s">
        <v>94</v>
      </c>
      <c r="F31" s="31"/>
      <c r="G31" s="4">
        <v>10</v>
      </c>
      <c r="H31" s="4">
        <v>10</v>
      </c>
      <c r="I31" s="4">
        <v>10</v>
      </c>
      <c r="J31" s="4">
        <v>10</v>
      </c>
      <c r="K31" s="4">
        <v>10</v>
      </c>
      <c r="L31" s="4">
        <v>10</v>
      </c>
      <c r="M31" s="4">
        <v>10</v>
      </c>
      <c r="N31" s="4">
        <v>10</v>
      </c>
      <c r="O31" s="4">
        <v>1</v>
      </c>
      <c r="P31" s="5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</row>
    <row r="32" spans="1:24" x14ac:dyDescent="0.35">
      <c r="A32" s="38"/>
      <c r="B32" s="38"/>
      <c r="C32" s="56" t="s">
        <v>275</v>
      </c>
      <c r="D32" s="57"/>
      <c r="E32" s="30" t="s">
        <v>103</v>
      </c>
      <c r="F32" s="31"/>
      <c r="G32" s="4">
        <v>8</v>
      </c>
      <c r="H32" s="4">
        <v>8</v>
      </c>
      <c r="I32" s="4">
        <v>8</v>
      </c>
      <c r="J32" s="4">
        <v>8</v>
      </c>
      <c r="K32" s="4">
        <v>8</v>
      </c>
      <c r="L32" s="4">
        <v>8</v>
      </c>
      <c r="M32" s="4">
        <v>8</v>
      </c>
      <c r="N32" s="4">
        <v>8</v>
      </c>
      <c r="O32" s="4">
        <v>8</v>
      </c>
      <c r="P32" s="5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</row>
    <row r="33" spans="1:24" x14ac:dyDescent="0.35">
      <c r="A33" s="27"/>
      <c r="B33" s="27"/>
      <c r="C33" s="53" t="s">
        <v>231</v>
      </c>
      <c r="D33" s="53"/>
      <c r="E33" s="30" t="s">
        <v>94</v>
      </c>
      <c r="F33" s="31"/>
      <c r="G33" s="4">
        <v>18</v>
      </c>
      <c r="H33" s="4">
        <v>18</v>
      </c>
      <c r="I33" s="4">
        <v>18</v>
      </c>
      <c r="J33" s="4">
        <v>18</v>
      </c>
      <c r="K33" s="4">
        <v>18</v>
      </c>
      <c r="L33" s="4">
        <v>18</v>
      </c>
      <c r="M33" s="4">
        <v>18</v>
      </c>
      <c r="N33" s="4">
        <v>18</v>
      </c>
      <c r="O33" s="4">
        <v>18</v>
      </c>
      <c r="P33" s="4">
        <v>15</v>
      </c>
      <c r="Q33" s="4">
        <v>6</v>
      </c>
      <c r="R33" s="4">
        <v>1</v>
      </c>
      <c r="S33" s="5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</row>
    <row r="34" spans="1:24" x14ac:dyDescent="0.35">
      <c r="A34" s="38"/>
      <c r="B34" s="38"/>
      <c r="C34" s="56" t="s">
        <v>232</v>
      </c>
      <c r="D34" s="57"/>
      <c r="E34" s="30" t="s">
        <v>104</v>
      </c>
      <c r="F34" s="31"/>
      <c r="G34" s="4">
        <v>14</v>
      </c>
      <c r="H34" s="4">
        <v>14</v>
      </c>
      <c r="I34" s="4">
        <v>14</v>
      </c>
      <c r="J34" s="4">
        <v>14</v>
      </c>
      <c r="K34" s="4">
        <v>14</v>
      </c>
      <c r="L34" s="4">
        <v>14</v>
      </c>
      <c r="M34" s="4">
        <v>14</v>
      </c>
      <c r="N34" s="4">
        <v>14</v>
      </c>
      <c r="O34" s="4">
        <v>14</v>
      </c>
      <c r="P34" s="4">
        <v>14</v>
      </c>
      <c r="Q34" s="4">
        <v>5</v>
      </c>
      <c r="R34" s="5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</row>
    <row r="35" spans="1:24" x14ac:dyDescent="0.35">
      <c r="A35" s="27"/>
      <c r="B35" s="27"/>
      <c r="C35" s="53" t="s">
        <v>233</v>
      </c>
      <c r="D35" s="53"/>
      <c r="E35" s="30" t="s">
        <v>94</v>
      </c>
      <c r="F35" s="31"/>
      <c r="G35" s="4">
        <v>10</v>
      </c>
      <c r="H35" s="4">
        <v>10</v>
      </c>
      <c r="I35" s="4">
        <v>10</v>
      </c>
      <c r="J35" s="4">
        <v>10</v>
      </c>
      <c r="K35" s="4">
        <v>10</v>
      </c>
      <c r="L35" s="4">
        <v>10</v>
      </c>
      <c r="M35" s="4">
        <v>10</v>
      </c>
      <c r="N35" s="4">
        <v>10</v>
      </c>
      <c r="O35" s="4">
        <v>10</v>
      </c>
      <c r="P35" s="4">
        <v>10</v>
      </c>
      <c r="Q35" s="4">
        <v>10</v>
      </c>
      <c r="R35" s="4">
        <v>10</v>
      </c>
      <c r="S35" s="4">
        <v>2</v>
      </c>
      <c r="T35" s="5">
        <v>0</v>
      </c>
      <c r="U35" s="4">
        <v>0</v>
      </c>
      <c r="V35" s="4">
        <v>0</v>
      </c>
      <c r="W35" s="4">
        <v>0</v>
      </c>
      <c r="X35" s="4">
        <v>0</v>
      </c>
    </row>
    <row r="36" spans="1:24" x14ac:dyDescent="0.35">
      <c r="A36" s="38"/>
      <c r="B36" s="38"/>
      <c r="C36" s="56" t="s">
        <v>234</v>
      </c>
      <c r="D36" s="57"/>
      <c r="E36" s="30" t="s">
        <v>103</v>
      </c>
      <c r="F36" s="31"/>
      <c r="G36" s="4">
        <v>8</v>
      </c>
      <c r="H36" s="4">
        <v>8</v>
      </c>
      <c r="I36" s="4">
        <v>8</v>
      </c>
      <c r="J36" s="4">
        <v>8</v>
      </c>
      <c r="K36" s="4">
        <v>8</v>
      </c>
      <c r="L36" s="4">
        <v>8</v>
      </c>
      <c r="M36" s="4">
        <v>8</v>
      </c>
      <c r="N36" s="4">
        <v>8</v>
      </c>
      <c r="O36" s="4">
        <v>8</v>
      </c>
      <c r="P36" s="4">
        <v>8</v>
      </c>
      <c r="Q36" s="4">
        <v>8</v>
      </c>
      <c r="R36" s="4">
        <v>8</v>
      </c>
      <c r="S36" s="4">
        <v>8</v>
      </c>
      <c r="T36" s="5">
        <v>0</v>
      </c>
      <c r="U36" s="4">
        <v>0</v>
      </c>
      <c r="V36" s="4">
        <v>0</v>
      </c>
      <c r="W36" s="4">
        <v>0</v>
      </c>
      <c r="X36" s="4">
        <v>0</v>
      </c>
    </row>
    <row r="37" spans="1:24" x14ac:dyDescent="0.35">
      <c r="A37" s="27"/>
      <c r="B37" s="27"/>
      <c r="C37" s="53" t="s">
        <v>235</v>
      </c>
      <c r="D37" s="53"/>
      <c r="E37" s="30" t="s">
        <v>94</v>
      </c>
      <c r="F37" s="31"/>
      <c r="G37" s="4">
        <v>9</v>
      </c>
      <c r="H37" s="4">
        <v>9</v>
      </c>
      <c r="I37" s="4">
        <v>9</v>
      </c>
      <c r="J37" s="4">
        <v>9</v>
      </c>
      <c r="K37" s="4">
        <v>9</v>
      </c>
      <c r="L37" s="4">
        <v>9</v>
      </c>
      <c r="M37" s="4">
        <v>9</v>
      </c>
      <c r="N37" s="4">
        <v>9</v>
      </c>
      <c r="O37" s="4">
        <v>9</v>
      </c>
      <c r="P37" s="4">
        <v>9</v>
      </c>
      <c r="Q37" s="4">
        <v>9</v>
      </c>
      <c r="R37" s="4">
        <v>9</v>
      </c>
      <c r="S37" s="4">
        <v>9</v>
      </c>
      <c r="T37" s="4">
        <v>9</v>
      </c>
      <c r="U37" s="5">
        <v>0</v>
      </c>
      <c r="V37" s="4">
        <v>0</v>
      </c>
      <c r="W37" s="4">
        <v>0</v>
      </c>
      <c r="X37" s="4">
        <v>0</v>
      </c>
    </row>
    <row r="38" spans="1:24" x14ac:dyDescent="0.35">
      <c r="A38" s="38"/>
      <c r="B38" s="38"/>
      <c r="C38" s="56" t="s">
        <v>236</v>
      </c>
      <c r="D38" s="57"/>
      <c r="E38" s="30" t="s">
        <v>104</v>
      </c>
      <c r="F38" s="31"/>
      <c r="G38" s="4">
        <v>7</v>
      </c>
      <c r="H38" s="4">
        <v>7</v>
      </c>
      <c r="I38" s="4">
        <v>7</v>
      </c>
      <c r="J38" s="4">
        <v>7</v>
      </c>
      <c r="K38" s="4">
        <v>7</v>
      </c>
      <c r="L38" s="4">
        <v>7</v>
      </c>
      <c r="M38" s="4">
        <v>7</v>
      </c>
      <c r="N38" s="4">
        <v>7</v>
      </c>
      <c r="O38" s="4">
        <v>7</v>
      </c>
      <c r="P38" s="4">
        <v>7</v>
      </c>
      <c r="Q38" s="4">
        <v>7</v>
      </c>
      <c r="R38" s="4">
        <v>7</v>
      </c>
      <c r="S38" s="4">
        <v>7</v>
      </c>
      <c r="T38" s="4">
        <v>7</v>
      </c>
      <c r="U38" s="5">
        <v>0</v>
      </c>
      <c r="V38" s="4">
        <v>0</v>
      </c>
      <c r="W38" s="4">
        <v>0</v>
      </c>
      <c r="X38" s="4">
        <v>0</v>
      </c>
    </row>
    <row r="39" spans="1:24" x14ac:dyDescent="0.35">
      <c r="A39" s="38"/>
      <c r="B39" s="27" t="s">
        <v>15</v>
      </c>
      <c r="C39" s="28" t="s">
        <v>237</v>
      </c>
      <c r="D39" s="29"/>
      <c r="E39" s="30" t="s">
        <v>96</v>
      </c>
      <c r="F39" s="31"/>
      <c r="G39" s="4">
        <v>4</v>
      </c>
      <c r="H39" s="4">
        <v>4</v>
      </c>
      <c r="I39" s="4">
        <v>4</v>
      </c>
      <c r="J39" s="4">
        <v>4</v>
      </c>
      <c r="K39" s="4">
        <v>4</v>
      </c>
      <c r="L39" s="5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</row>
    <row r="40" spans="1:24" x14ac:dyDescent="0.35">
      <c r="A40" s="38"/>
      <c r="B40" s="27"/>
      <c r="C40" s="28" t="s">
        <v>238</v>
      </c>
      <c r="D40" s="29"/>
      <c r="E40" s="30" t="s">
        <v>95</v>
      </c>
      <c r="F40" s="31"/>
      <c r="G40" s="4">
        <v>5</v>
      </c>
      <c r="H40" s="4">
        <v>5</v>
      </c>
      <c r="I40" s="4">
        <v>5</v>
      </c>
      <c r="J40" s="4">
        <v>5</v>
      </c>
      <c r="K40" s="4">
        <v>5</v>
      </c>
      <c r="L40" s="4">
        <v>5</v>
      </c>
      <c r="M40" s="4">
        <v>5</v>
      </c>
      <c r="N40" s="4">
        <v>5</v>
      </c>
      <c r="O40" s="5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</row>
    <row r="41" spans="1:24" x14ac:dyDescent="0.35">
      <c r="A41" s="38"/>
      <c r="B41" s="27"/>
      <c r="C41" s="28" t="s">
        <v>276</v>
      </c>
      <c r="D41" s="29"/>
      <c r="E41" s="30" t="s">
        <v>96</v>
      </c>
      <c r="F41" s="31"/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4</v>
      </c>
      <c r="M41" s="4">
        <v>4</v>
      </c>
      <c r="N41" s="4">
        <v>4</v>
      </c>
      <c r="O41" s="4">
        <v>4</v>
      </c>
      <c r="P41" s="4">
        <v>4</v>
      </c>
      <c r="Q41" s="5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</row>
    <row r="42" spans="1:24" x14ac:dyDescent="0.35">
      <c r="A42" s="38"/>
      <c r="B42" s="27"/>
      <c r="C42" s="28" t="s">
        <v>239</v>
      </c>
      <c r="D42" s="29"/>
      <c r="E42" s="30" t="s">
        <v>95</v>
      </c>
      <c r="F42" s="31"/>
      <c r="G42" s="4">
        <v>6</v>
      </c>
      <c r="H42" s="4">
        <v>6</v>
      </c>
      <c r="I42" s="4">
        <v>6</v>
      </c>
      <c r="J42" s="4">
        <v>6</v>
      </c>
      <c r="K42" s="4">
        <v>6</v>
      </c>
      <c r="L42" s="4">
        <v>6</v>
      </c>
      <c r="M42" s="4">
        <v>6</v>
      </c>
      <c r="N42" s="4">
        <v>6</v>
      </c>
      <c r="O42" s="4">
        <v>6</v>
      </c>
      <c r="P42" s="4">
        <v>6</v>
      </c>
      <c r="Q42" s="4">
        <v>6</v>
      </c>
      <c r="R42" s="4">
        <v>6</v>
      </c>
      <c r="S42" s="5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</row>
    <row r="43" spans="1:24" x14ac:dyDescent="0.35">
      <c r="A43" s="38"/>
      <c r="B43" s="27"/>
      <c r="C43" s="28" t="s">
        <v>240</v>
      </c>
      <c r="D43" s="29"/>
      <c r="E43" s="30" t="s">
        <v>96</v>
      </c>
      <c r="F43" s="31"/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4</v>
      </c>
      <c r="S43" s="4">
        <v>4</v>
      </c>
      <c r="T43" s="4">
        <v>4</v>
      </c>
      <c r="U43" s="5">
        <v>0</v>
      </c>
      <c r="V43" s="4">
        <v>0</v>
      </c>
      <c r="W43" s="4">
        <v>0</v>
      </c>
      <c r="X43" s="4">
        <v>0</v>
      </c>
    </row>
    <row r="44" spans="1:24" x14ac:dyDescent="0.35">
      <c r="A44" s="38"/>
      <c r="B44" s="27"/>
      <c r="C44" s="28" t="s">
        <v>241</v>
      </c>
      <c r="D44" s="29"/>
      <c r="E44" s="30" t="s">
        <v>95</v>
      </c>
      <c r="F44" s="31"/>
      <c r="G44" s="4">
        <v>4</v>
      </c>
      <c r="H44" s="4">
        <v>4</v>
      </c>
      <c r="I44" s="4">
        <v>4</v>
      </c>
      <c r="J44" s="4">
        <v>4</v>
      </c>
      <c r="K44" s="4">
        <v>4</v>
      </c>
      <c r="L44" s="4">
        <v>4</v>
      </c>
      <c r="M44" s="4">
        <v>4</v>
      </c>
      <c r="N44" s="4">
        <v>4</v>
      </c>
      <c r="O44" s="4">
        <v>4</v>
      </c>
      <c r="P44" s="4">
        <v>4</v>
      </c>
      <c r="Q44" s="4">
        <v>4</v>
      </c>
      <c r="R44" s="4">
        <v>4</v>
      </c>
      <c r="S44" s="4">
        <v>4</v>
      </c>
      <c r="T44" s="4">
        <v>4</v>
      </c>
      <c r="U44" s="4">
        <v>4</v>
      </c>
      <c r="V44" s="5">
        <v>0</v>
      </c>
      <c r="W44" s="4">
        <v>0</v>
      </c>
      <c r="X44" s="4">
        <v>0</v>
      </c>
    </row>
    <row r="45" spans="1:24" x14ac:dyDescent="0.35">
      <c r="A45" s="27"/>
      <c r="B45" s="27" t="s">
        <v>123</v>
      </c>
      <c r="C45" s="53" t="s">
        <v>242</v>
      </c>
      <c r="D45" s="53"/>
      <c r="E45" s="30" t="s">
        <v>94</v>
      </c>
      <c r="F45" s="31"/>
      <c r="G45" s="4">
        <v>4</v>
      </c>
      <c r="H45" s="4">
        <v>4</v>
      </c>
      <c r="I45" s="4">
        <v>4</v>
      </c>
      <c r="J45" s="4">
        <v>4</v>
      </c>
      <c r="K45" s="4">
        <v>4</v>
      </c>
      <c r="L45" s="4">
        <v>4</v>
      </c>
      <c r="M45" s="5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1:24" x14ac:dyDescent="0.35">
      <c r="A46" s="38"/>
      <c r="B46" s="38"/>
      <c r="C46" s="56" t="s">
        <v>243</v>
      </c>
      <c r="D46" s="57"/>
      <c r="E46" s="30" t="s">
        <v>103</v>
      </c>
      <c r="F46" s="31"/>
      <c r="G46" s="4">
        <v>3</v>
      </c>
      <c r="H46" s="4">
        <v>3</v>
      </c>
      <c r="I46" s="4">
        <v>3</v>
      </c>
      <c r="J46" s="4">
        <v>3</v>
      </c>
      <c r="K46" s="4">
        <v>3</v>
      </c>
      <c r="L46" s="4">
        <v>3</v>
      </c>
      <c r="M46" s="5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</row>
    <row r="47" spans="1:24" x14ac:dyDescent="0.35">
      <c r="A47" s="27"/>
      <c r="B47" s="27"/>
      <c r="C47" s="53" t="s">
        <v>244</v>
      </c>
      <c r="D47" s="53"/>
      <c r="E47" s="30" t="s">
        <v>94</v>
      </c>
      <c r="F47" s="31"/>
      <c r="G47" s="4">
        <v>5</v>
      </c>
      <c r="H47" s="4">
        <v>5</v>
      </c>
      <c r="I47" s="4">
        <v>5</v>
      </c>
      <c r="J47" s="4">
        <v>5</v>
      </c>
      <c r="K47" s="4">
        <v>5</v>
      </c>
      <c r="L47" s="4">
        <v>5</v>
      </c>
      <c r="M47" s="4">
        <v>5</v>
      </c>
      <c r="N47" s="4">
        <v>5</v>
      </c>
      <c r="O47" s="4">
        <v>5</v>
      </c>
      <c r="P47" s="5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1:24" x14ac:dyDescent="0.35">
      <c r="A48" s="38"/>
      <c r="B48" s="38"/>
      <c r="C48" s="56" t="s">
        <v>245</v>
      </c>
      <c r="D48" s="57"/>
      <c r="E48" s="30" t="s">
        <v>104</v>
      </c>
      <c r="F48" s="31"/>
      <c r="G48" s="4">
        <v>4</v>
      </c>
      <c r="H48" s="4">
        <v>4</v>
      </c>
      <c r="I48" s="4">
        <v>4</v>
      </c>
      <c r="J48" s="4">
        <v>4</v>
      </c>
      <c r="K48" s="4">
        <v>4</v>
      </c>
      <c r="L48" s="4">
        <v>4</v>
      </c>
      <c r="M48" s="4">
        <v>4</v>
      </c>
      <c r="N48" s="4">
        <v>4</v>
      </c>
      <c r="O48" s="4">
        <v>4</v>
      </c>
      <c r="P48" s="5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</row>
    <row r="49" spans="1:24" x14ac:dyDescent="0.35">
      <c r="A49" s="27"/>
      <c r="B49" s="27"/>
      <c r="C49" s="53" t="s">
        <v>277</v>
      </c>
      <c r="D49" s="53"/>
      <c r="E49" s="30" t="s">
        <v>94</v>
      </c>
      <c r="F49" s="31"/>
      <c r="G49" s="4">
        <v>4</v>
      </c>
      <c r="H49" s="4">
        <v>4</v>
      </c>
      <c r="I49" s="4">
        <v>4</v>
      </c>
      <c r="J49" s="4">
        <v>4</v>
      </c>
      <c r="K49" s="4">
        <v>4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5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</row>
    <row r="50" spans="1:24" x14ac:dyDescent="0.35">
      <c r="A50" s="38"/>
      <c r="B50" s="38"/>
      <c r="C50" s="56" t="s">
        <v>278</v>
      </c>
      <c r="D50" s="57"/>
      <c r="E50" s="30" t="s">
        <v>103</v>
      </c>
      <c r="F50" s="31"/>
      <c r="G50" s="4">
        <v>3</v>
      </c>
      <c r="H50" s="4">
        <v>3</v>
      </c>
      <c r="I50" s="4">
        <v>3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3</v>
      </c>
      <c r="P50" s="4">
        <v>3</v>
      </c>
      <c r="Q50" s="4">
        <v>3</v>
      </c>
      <c r="R50" s="5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</row>
    <row r="51" spans="1:24" x14ac:dyDescent="0.35">
      <c r="A51" s="27"/>
      <c r="B51" s="27"/>
      <c r="C51" s="53" t="s">
        <v>246</v>
      </c>
      <c r="D51" s="53"/>
      <c r="E51" s="30" t="s">
        <v>94</v>
      </c>
      <c r="F51" s="31"/>
      <c r="G51" s="4">
        <v>6</v>
      </c>
      <c r="H51" s="4">
        <v>6</v>
      </c>
      <c r="I51" s="4">
        <v>6</v>
      </c>
      <c r="J51" s="4">
        <v>6</v>
      </c>
      <c r="K51" s="4">
        <v>6</v>
      </c>
      <c r="L51" s="4">
        <v>6</v>
      </c>
      <c r="M51" s="4">
        <v>6</v>
      </c>
      <c r="N51" s="4">
        <v>6</v>
      </c>
      <c r="O51" s="4">
        <v>6</v>
      </c>
      <c r="P51" s="4">
        <v>6</v>
      </c>
      <c r="Q51" s="4">
        <v>6</v>
      </c>
      <c r="R51" s="4">
        <v>6</v>
      </c>
      <c r="S51" s="4">
        <v>6</v>
      </c>
      <c r="T51" s="5">
        <v>0</v>
      </c>
      <c r="U51" s="4">
        <v>0</v>
      </c>
      <c r="V51" s="4">
        <v>0</v>
      </c>
      <c r="W51" s="4">
        <v>0</v>
      </c>
      <c r="X51" s="4">
        <v>0</v>
      </c>
    </row>
    <row r="52" spans="1:24" x14ac:dyDescent="0.35">
      <c r="A52" s="38"/>
      <c r="B52" s="38"/>
      <c r="C52" s="56" t="s">
        <v>247</v>
      </c>
      <c r="D52" s="57"/>
      <c r="E52" s="30" t="s">
        <v>104</v>
      </c>
      <c r="F52" s="31"/>
      <c r="G52" s="4">
        <v>5</v>
      </c>
      <c r="H52" s="4">
        <v>5</v>
      </c>
      <c r="I52" s="4">
        <v>5</v>
      </c>
      <c r="J52" s="4">
        <v>5</v>
      </c>
      <c r="K52" s="4">
        <v>5</v>
      </c>
      <c r="L52" s="4">
        <v>5</v>
      </c>
      <c r="M52" s="4">
        <v>5</v>
      </c>
      <c r="N52" s="4">
        <v>5</v>
      </c>
      <c r="O52" s="4">
        <v>5</v>
      </c>
      <c r="P52" s="4">
        <v>5</v>
      </c>
      <c r="Q52" s="4">
        <v>5</v>
      </c>
      <c r="R52" s="4">
        <v>5</v>
      </c>
      <c r="S52" s="4">
        <v>5</v>
      </c>
      <c r="T52" s="5">
        <v>0</v>
      </c>
      <c r="U52" s="4">
        <v>0</v>
      </c>
      <c r="V52" s="4">
        <v>0</v>
      </c>
      <c r="W52" s="4">
        <v>0</v>
      </c>
      <c r="X52" s="4">
        <v>0</v>
      </c>
    </row>
    <row r="53" spans="1:24" x14ac:dyDescent="0.35">
      <c r="A53" s="27"/>
      <c r="B53" s="27"/>
      <c r="C53" s="53" t="s">
        <v>248</v>
      </c>
      <c r="D53" s="53"/>
      <c r="E53" s="30" t="s">
        <v>94</v>
      </c>
      <c r="F53" s="31"/>
      <c r="G53" s="4">
        <v>4</v>
      </c>
      <c r="H53" s="4">
        <v>4</v>
      </c>
      <c r="I53" s="4">
        <v>4</v>
      </c>
      <c r="J53" s="4">
        <v>4</v>
      </c>
      <c r="K53" s="4">
        <v>4</v>
      </c>
      <c r="L53" s="4">
        <v>4</v>
      </c>
      <c r="M53" s="4">
        <v>4</v>
      </c>
      <c r="N53" s="4">
        <v>4</v>
      </c>
      <c r="O53" s="4">
        <v>4</v>
      </c>
      <c r="P53" s="4">
        <v>4</v>
      </c>
      <c r="Q53" s="4">
        <v>4</v>
      </c>
      <c r="R53" s="4">
        <v>4</v>
      </c>
      <c r="S53" s="4">
        <v>4</v>
      </c>
      <c r="T53" s="4">
        <v>4</v>
      </c>
      <c r="U53" s="4">
        <v>4</v>
      </c>
      <c r="V53" s="5">
        <v>0</v>
      </c>
      <c r="W53" s="4">
        <v>0</v>
      </c>
      <c r="X53" s="4">
        <v>0</v>
      </c>
    </row>
    <row r="54" spans="1:24" x14ac:dyDescent="0.35">
      <c r="A54" s="38"/>
      <c r="B54" s="38"/>
      <c r="C54" s="56" t="s">
        <v>249</v>
      </c>
      <c r="D54" s="57"/>
      <c r="E54" s="30" t="s">
        <v>103</v>
      </c>
      <c r="F54" s="31"/>
      <c r="G54" s="4">
        <v>3</v>
      </c>
      <c r="H54" s="4">
        <v>3</v>
      </c>
      <c r="I54" s="4">
        <v>3</v>
      </c>
      <c r="J54" s="4">
        <v>3</v>
      </c>
      <c r="K54" s="4">
        <v>3</v>
      </c>
      <c r="L54" s="4">
        <v>3</v>
      </c>
      <c r="M54" s="4">
        <v>3</v>
      </c>
      <c r="N54" s="4">
        <v>3</v>
      </c>
      <c r="O54" s="4">
        <v>3</v>
      </c>
      <c r="P54" s="4">
        <v>3</v>
      </c>
      <c r="Q54" s="4">
        <v>3</v>
      </c>
      <c r="R54" s="4">
        <v>3</v>
      </c>
      <c r="S54" s="4">
        <v>3</v>
      </c>
      <c r="T54" s="4">
        <v>3</v>
      </c>
      <c r="U54" s="4">
        <v>3</v>
      </c>
      <c r="V54" s="5">
        <v>0</v>
      </c>
      <c r="W54" s="4">
        <v>0</v>
      </c>
      <c r="X54" s="4">
        <v>0</v>
      </c>
    </row>
    <row r="55" spans="1:24" x14ac:dyDescent="0.35">
      <c r="A55" s="27"/>
      <c r="B55" s="27"/>
      <c r="C55" s="53" t="s">
        <v>250</v>
      </c>
      <c r="D55" s="53"/>
      <c r="E55" s="30" t="s">
        <v>94</v>
      </c>
      <c r="F55" s="31"/>
      <c r="G55" s="4">
        <v>4</v>
      </c>
      <c r="H55" s="4">
        <v>4</v>
      </c>
      <c r="I55" s="4">
        <v>4</v>
      </c>
      <c r="J55" s="4">
        <v>4</v>
      </c>
      <c r="K55" s="4">
        <v>4</v>
      </c>
      <c r="L55" s="4">
        <v>4</v>
      </c>
      <c r="M55" s="4">
        <v>4</v>
      </c>
      <c r="N55" s="4">
        <v>4</v>
      </c>
      <c r="O55" s="4">
        <v>4</v>
      </c>
      <c r="P55" s="4">
        <v>4</v>
      </c>
      <c r="Q55" s="4">
        <v>4</v>
      </c>
      <c r="R55" s="4">
        <v>4</v>
      </c>
      <c r="S55" s="4">
        <v>4</v>
      </c>
      <c r="T55" s="4">
        <v>4</v>
      </c>
      <c r="U55" s="4">
        <v>4</v>
      </c>
      <c r="V55" s="4">
        <v>4</v>
      </c>
      <c r="W55" s="5">
        <v>0</v>
      </c>
      <c r="X55" s="4">
        <v>0</v>
      </c>
    </row>
    <row r="56" spans="1:24" x14ac:dyDescent="0.35">
      <c r="A56" s="38"/>
      <c r="B56" s="38"/>
      <c r="C56" s="56" t="s">
        <v>251</v>
      </c>
      <c r="D56" s="57"/>
      <c r="E56" s="30" t="s">
        <v>104</v>
      </c>
      <c r="F56" s="31"/>
      <c r="G56" s="4">
        <v>3</v>
      </c>
      <c r="H56" s="4">
        <v>3</v>
      </c>
      <c r="I56" s="4">
        <v>3</v>
      </c>
      <c r="J56" s="4">
        <v>3</v>
      </c>
      <c r="K56" s="4">
        <v>3</v>
      </c>
      <c r="L56" s="4">
        <v>3</v>
      </c>
      <c r="M56" s="4">
        <v>3</v>
      </c>
      <c r="N56" s="4">
        <v>3</v>
      </c>
      <c r="O56" s="4">
        <v>3</v>
      </c>
      <c r="P56" s="4">
        <v>3</v>
      </c>
      <c r="Q56" s="4">
        <v>3</v>
      </c>
      <c r="R56" s="4">
        <v>3</v>
      </c>
      <c r="S56" s="4">
        <v>3</v>
      </c>
      <c r="T56" s="4">
        <v>3</v>
      </c>
      <c r="U56" s="4">
        <v>3</v>
      </c>
      <c r="V56" s="4">
        <v>3</v>
      </c>
      <c r="W56" s="5">
        <v>0</v>
      </c>
      <c r="X56" s="4">
        <v>0</v>
      </c>
    </row>
    <row r="57" spans="1:24" x14ac:dyDescent="0.35">
      <c r="A57" s="38"/>
      <c r="B57" s="27" t="s">
        <v>16</v>
      </c>
      <c r="C57" s="28" t="s">
        <v>252</v>
      </c>
      <c r="D57" s="29"/>
      <c r="E57" s="30" t="s">
        <v>96</v>
      </c>
      <c r="F57" s="31"/>
      <c r="G57" s="4">
        <v>2</v>
      </c>
      <c r="H57" s="4">
        <v>2</v>
      </c>
      <c r="I57" s="4">
        <v>2</v>
      </c>
      <c r="J57" s="4">
        <v>2</v>
      </c>
      <c r="K57" s="4">
        <v>2</v>
      </c>
      <c r="L57" s="4">
        <v>2</v>
      </c>
      <c r="M57" s="5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24" x14ac:dyDescent="0.35">
      <c r="A58" s="38"/>
      <c r="B58" s="27"/>
      <c r="C58" s="28" t="s">
        <v>253</v>
      </c>
      <c r="D58" s="29"/>
      <c r="E58" s="30" t="s">
        <v>95</v>
      </c>
      <c r="F58" s="31"/>
      <c r="G58" s="4">
        <v>2</v>
      </c>
      <c r="H58" s="4">
        <v>2</v>
      </c>
      <c r="I58" s="4">
        <v>2</v>
      </c>
      <c r="J58" s="4">
        <v>2</v>
      </c>
      <c r="K58" s="4">
        <v>2</v>
      </c>
      <c r="L58" s="4">
        <v>2</v>
      </c>
      <c r="M58" s="4">
        <v>2</v>
      </c>
      <c r="N58" s="4">
        <v>2</v>
      </c>
      <c r="O58" s="4">
        <v>2</v>
      </c>
      <c r="P58" s="5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</row>
    <row r="59" spans="1:24" x14ac:dyDescent="0.35">
      <c r="A59" s="38"/>
      <c r="B59" s="27"/>
      <c r="C59" s="28" t="s">
        <v>279</v>
      </c>
      <c r="D59" s="29"/>
      <c r="E59" s="30" t="s">
        <v>96</v>
      </c>
      <c r="F59" s="31"/>
      <c r="G59" s="4">
        <v>2</v>
      </c>
      <c r="H59" s="4">
        <v>2</v>
      </c>
      <c r="I59" s="4">
        <v>2</v>
      </c>
      <c r="J59" s="4">
        <v>2</v>
      </c>
      <c r="K59" s="4">
        <v>2</v>
      </c>
      <c r="L59" s="4">
        <v>2</v>
      </c>
      <c r="M59" s="4">
        <v>2</v>
      </c>
      <c r="N59" s="4">
        <v>2</v>
      </c>
      <c r="O59" s="4">
        <v>2</v>
      </c>
      <c r="P59" s="4">
        <v>2</v>
      </c>
      <c r="Q59" s="4">
        <v>2</v>
      </c>
      <c r="R59" s="5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</row>
    <row r="60" spans="1:24" x14ac:dyDescent="0.35">
      <c r="A60" s="38"/>
      <c r="B60" s="27"/>
      <c r="C60" s="28" t="s">
        <v>254</v>
      </c>
      <c r="D60" s="29"/>
      <c r="E60" s="30" t="s">
        <v>95</v>
      </c>
      <c r="F60" s="31"/>
      <c r="G60" s="4">
        <v>3</v>
      </c>
      <c r="H60" s="4">
        <v>3</v>
      </c>
      <c r="I60" s="4">
        <v>3</v>
      </c>
      <c r="J60" s="4">
        <v>3</v>
      </c>
      <c r="K60" s="4">
        <v>3</v>
      </c>
      <c r="L60" s="4">
        <v>3</v>
      </c>
      <c r="M60" s="4">
        <v>3</v>
      </c>
      <c r="N60" s="4">
        <v>3</v>
      </c>
      <c r="O60" s="4">
        <v>3</v>
      </c>
      <c r="P60" s="4">
        <v>3</v>
      </c>
      <c r="Q60" s="4">
        <v>3</v>
      </c>
      <c r="R60" s="4">
        <v>3</v>
      </c>
      <c r="S60" s="4">
        <v>3</v>
      </c>
      <c r="T60" s="5">
        <v>0</v>
      </c>
      <c r="U60" s="4">
        <v>0</v>
      </c>
      <c r="V60" s="4">
        <v>0</v>
      </c>
      <c r="W60" s="4">
        <v>0</v>
      </c>
      <c r="X60" s="4">
        <v>0</v>
      </c>
    </row>
    <row r="61" spans="1:24" x14ac:dyDescent="0.35">
      <c r="A61" s="38"/>
      <c r="B61" s="27"/>
      <c r="C61" s="28" t="s">
        <v>255</v>
      </c>
      <c r="D61" s="29"/>
      <c r="E61" s="30" t="s">
        <v>96</v>
      </c>
      <c r="F61" s="31"/>
      <c r="G61" s="4">
        <v>2</v>
      </c>
      <c r="H61" s="4">
        <v>2</v>
      </c>
      <c r="I61" s="4">
        <v>2</v>
      </c>
      <c r="J61" s="4">
        <v>2</v>
      </c>
      <c r="K61" s="4">
        <v>2</v>
      </c>
      <c r="L61" s="4">
        <v>2</v>
      </c>
      <c r="M61" s="4">
        <v>2</v>
      </c>
      <c r="N61" s="4">
        <v>2</v>
      </c>
      <c r="O61" s="4">
        <v>2</v>
      </c>
      <c r="P61" s="4">
        <v>2</v>
      </c>
      <c r="Q61" s="4">
        <v>2</v>
      </c>
      <c r="R61" s="4">
        <v>2</v>
      </c>
      <c r="S61" s="4">
        <v>2</v>
      </c>
      <c r="T61" s="4">
        <v>2</v>
      </c>
      <c r="U61" s="4">
        <v>2</v>
      </c>
      <c r="V61" s="5">
        <v>0</v>
      </c>
      <c r="W61" s="4">
        <v>0</v>
      </c>
      <c r="X61" s="4">
        <v>0</v>
      </c>
    </row>
    <row r="62" spans="1:24" x14ac:dyDescent="0.35">
      <c r="A62" s="38"/>
      <c r="B62" s="27"/>
      <c r="C62" s="28" t="s">
        <v>256</v>
      </c>
      <c r="D62" s="29"/>
      <c r="E62" s="30" t="s">
        <v>95</v>
      </c>
      <c r="F62" s="31"/>
      <c r="G62" s="4">
        <v>2</v>
      </c>
      <c r="H62" s="4">
        <v>2</v>
      </c>
      <c r="I62" s="4">
        <v>2</v>
      </c>
      <c r="J62" s="4">
        <v>2</v>
      </c>
      <c r="K62" s="4">
        <v>2</v>
      </c>
      <c r="L62" s="4">
        <v>2</v>
      </c>
      <c r="M62" s="4">
        <v>2</v>
      </c>
      <c r="N62" s="4">
        <v>2</v>
      </c>
      <c r="O62" s="4">
        <v>2</v>
      </c>
      <c r="P62" s="4">
        <v>2</v>
      </c>
      <c r="Q62" s="4">
        <v>2</v>
      </c>
      <c r="R62" s="4">
        <v>2</v>
      </c>
      <c r="S62" s="4">
        <v>2</v>
      </c>
      <c r="T62" s="4">
        <v>2</v>
      </c>
      <c r="U62" s="4">
        <v>2</v>
      </c>
      <c r="V62" s="4">
        <v>2</v>
      </c>
      <c r="W62" s="5">
        <v>0</v>
      </c>
      <c r="X62" s="4">
        <v>0</v>
      </c>
    </row>
    <row r="63" spans="1:24" x14ac:dyDescent="0.35">
      <c r="A63" s="38"/>
      <c r="B63" s="27" t="s">
        <v>262</v>
      </c>
      <c r="C63" s="28" t="s">
        <v>257</v>
      </c>
      <c r="D63" s="29"/>
      <c r="E63" s="30" t="s">
        <v>17</v>
      </c>
      <c r="F63" s="31"/>
      <c r="G63" s="4">
        <v>4</v>
      </c>
      <c r="H63" s="4">
        <v>4</v>
      </c>
      <c r="I63" s="4">
        <v>4</v>
      </c>
      <c r="J63" s="4">
        <v>4</v>
      </c>
      <c r="K63" s="4">
        <v>4</v>
      </c>
      <c r="L63" s="4">
        <v>4</v>
      </c>
      <c r="M63" s="4">
        <v>4</v>
      </c>
      <c r="N63" s="4">
        <v>4</v>
      </c>
      <c r="O63" s="4">
        <v>4</v>
      </c>
      <c r="P63" s="4">
        <v>4</v>
      </c>
      <c r="Q63" s="4">
        <v>4</v>
      </c>
      <c r="R63" s="4">
        <v>4</v>
      </c>
      <c r="S63" s="4">
        <v>4</v>
      </c>
      <c r="T63" s="4">
        <v>4</v>
      </c>
      <c r="U63" s="4">
        <v>4</v>
      </c>
      <c r="V63" s="4">
        <v>4</v>
      </c>
      <c r="W63" s="4">
        <v>4</v>
      </c>
      <c r="X63" s="5">
        <v>0</v>
      </c>
    </row>
    <row r="64" spans="1:24" x14ac:dyDescent="0.35">
      <c r="A64" s="38"/>
      <c r="B64" s="27"/>
      <c r="C64" s="28" t="s">
        <v>258</v>
      </c>
      <c r="D64" s="29"/>
      <c r="E64" s="30" t="s">
        <v>17</v>
      </c>
      <c r="F64" s="31"/>
      <c r="G64" s="4">
        <v>2</v>
      </c>
      <c r="H64" s="4">
        <v>2</v>
      </c>
      <c r="I64" s="4">
        <v>2</v>
      </c>
      <c r="J64" s="4">
        <v>2</v>
      </c>
      <c r="K64" s="4">
        <v>2</v>
      </c>
      <c r="L64" s="4">
        <v>2</v>
      </c>
      <c r="M64" s="4">
        <v>2</v>
      </c>
      <c r="N64" s="4">
        <v>2</v>
      </c>
      <c r="O64" s="4">
        <v>2</v>
      </c>
      <c r="P64" s="4">
        <v>2</v>
      </c>
      <c r="Q64" s="4">
        <v>2</v>
      </c>
      <c r="R64" s="4">
        <v>2</v>
      </c>
      <c r="S64" s="4">
        <v>2</v>
      </c>
      <c r="T64" s="4">
        <v>2</v>
      </c>
      <c r="U64" s="4">
        <v>2</v>
      </c>
      <c r="V64" s="4">
        <v>2</v>
      </c>
      <c r="W64" s="4">
        <v>2</v>
      </c>
      <c r="X64" s="5">
        <v>0</v>
      </c>
    </row>
    <row r="65" spans="1:24" x14ac:dyDescent="0.35">
      <c r="A65" s="38"/>
      <c r="B65" s="27"/>
      <c r="C65" s="28" t="s">
        <v>259</v>
      </c>
      <c r="D65" s="29"/>
      <c r="E65" s="30" t="s">
        <v>94</v>
      </c>
      <c r="F65" s="31"/>
      <c r="G65" s="4">
        <v>2</v>
      </c>
      <c r="H65" s="4">
        <v>2</v>
      </c>
      <c r="I65" s="4">
        <v>2</v>
      </c>
      <c r="J65" s="4">
        <v>2</v>
      </c>
      <c r="K65" s="4">
        <v>2</v>
      </c>
      <c r="L65" s="4">
        <v>2</v>
      </c>
      <c r="M65" s="4">
        <v>2</v>
      </c>
      <c r="N65" s="4">
        <v>2</v>
      </c>
      <c r="O65" s="4">
        <v>2</v>
      </c>
      <c r="P65" s="4">
        <v>2</v>
      </c>
      <c r="Q65" s="4">
        <v>2</v>
      </c>
      <c r="R65" s="4">
        <v>2</v>
      </c>
      <c r="S65" s="4">
        <v>2</v>
      </c>
      <c r="T65" s="4">
        <v>2</v>
      </c>
      <c r="U65" s="4">
        <v>2</v>
      </c>
      <c r="V65" s="4">
        <v>2</v>
      </c>
      <c r="W65" s="4">
        <v>2</v>
      </c>
      <c r="X65" s="5">
        <v>0</v>
      </c>
    </row>
    <row r="66" spans="1:24" x14ac:dyDescent="0.35">
      <c r="A66" s="38"/>
      <c r="B66" s="27"/>
      <c r="C66" s="28" t="s">
        <v>260</v>
      </c>
      <c r="D66" s="29"/>
      <c r="E66" s="30" t="s">
        <v>96</v>
      </c>
      <c r="F66" s="31"/>
      <c r="G66" s="4">
        <v>2</v>
      </c>
      <c r="H66" s="4">
        <v>2</v>
      </c>
      <c r="I66" s="4">
        <v>2</v>
      </c>
      <c r="J66" s="4">
        <v>2</v>
      </c>
      <c r="K66" s="4">
        <v>2</v>
      </c>
      <c r="L66" s="4">
        <v>2</v>
      </c>
      <c r="M66" s="4">
        <v>2</v>
      </c>
      <c r="N66" s="4">
        <v>2</v>
      </c>
      <c r="O66" s="4">
        <v>2</v>
      </c>
      <c r="P66" s="4">
        <v>2</v>
      </c>
      <c r="Q66" s="4">
        <v>2</v>
      </c>
      <c r="R66" s="4">
        <v>2</v>
      </c>
      <c r="S66" s="4">
        <v>2</v>
      </c>
      <c r="T66" s="4">
        <v>2</v>
      </c>
      <c r="U66" s="4">
        <v>2</v>
      </c>
      <c r="V66" s="4">
        <v>2</v>
      </c>
      <c r="W66" s="4">
        <v>2</v>
      </c>
      <c r="X66" s="5">
        <v>0</v>
      </c>
    </row>
    <row r="67" spans="1:24" x14ac:dyDescent="0.35">
      <c r="A67" s="38"/>
      <c r="B67" s="27"/>
      <c r="C67" s="28" t="s">
        <v>261</v>
      </c>
      <c r="D67" s="29"/>
      <c r="E67" s="30" t="s">
        <v>95</v>
      </c>
      <c r="F67" s="31"/>
      <c r="G67" s="4">
        <v>2</v>
      </c>
      <c r="H67" s="4">
        <v>2</v>
      </c>
      <c r="I67" s="4">
        <v>2</v>
      </c>
      <c r="J67" s="4">
        <v>2</v>
      </c>
      <c r="K67" s="4">
        <v>2</v>
      </c>
      <c r="L67" s="4">
        <v>2</v>
      </c>
      <c r="M67" s="4">
        <v>2</v>
      </c>
      <c r="N67" s="4">
        <v>2</v>
      </c>
      <c r="O67" s="4">
        <v>2</v>
      </c>
      <c r="P67" s="4">
        <v>2</v>
      </c>
      <c r="Q67" s="4">
        <v>2</v>
      </c>
      <c r="R67" s="4">
        <v>2</v>
      </c>
      <c r="S67" s="4">
        <v>2</v>
      </c>
      <c r="T67" s="4">
        <v>2</v>
      </c>
      <c r="U67" s="4">
        <v>2</v>
      </c>
      <c r="V67" s="4">
        <v>2</v>
      </c>
      <c r="W67" s="4">
        <v>2</v>
      </c>
      <c r="X67" s="5">
        <v>0</v>
      </c>
    </row>
    <row r="68" spans="1:24" x14ac:dyDescent="0.35">
      <c r="A68" s="38"/>
      <c r="B68" s="43" t="s">
        <v>12</v>
      </c>
      <c r="C68" s="43"/>
      <c r="D68" s="43"/>
      <c r="E68" s="42" t="s">
        <v>11</v>
      </c>
      <c r="F68" s="42"/>
      <c r="G68" s="30">
        <f>SUM(G18:G67)</f>
        <v>265</v>
      </c>
      <c r="H68" s="31"/>
      <c r="I68" s="4">
        <f t="shared" ref="I68:X68" si="0">SUM(I18:I67)</f>
        <v>253</v>
      </c>
      <c r="J68" s="4">
        <f t="shared" si="0"/>
        <v>240</v>
      </c>
      <c r="K68" s="4">
        <f t="shared" si="0"/>
        <v>231</v>
      </c>
      <c r="L68" s="4">
        <f t="shared" si="0"/>
        <v>217</v>
      </c>
      <c r="M68" s="4">
        <f t="shared" si="0"/>
        <v>190</v>
      </c>
      <c r="N68" s="4">
        <f t="shared" si="0"/>
        <v>189</v>
      </c>
      <c r="O68" s="4">
        <f t="shared" si="0"/>
        <v>171</v>
      </c>
      <c r="P68" s="4">
        <f t="shared" si="0"/>
        <v>142</v>
      </c>
      <c r="Q68" s="4">
        <f t="shared" si="0"/>
        <v>120</v>
      </c>
      <c r="R68" s="4">
        <f t="shared" si="0"/>
        <v>101</v>
      </c>
      <c r="S68" s="4">
        <f t="shared" si="0"/>
        <v>82</v>
      </c>
      <c r="T68" s="4">
        <f t="shared" si="0"/>
        <v>58</v>
      </c>
      <c r="U68" s="4">
        <f t="shared" si="0"/>
        <v>34</v>
      </c>
      <c r="V68" s="4">
        <f t="shared" si="0"/>
        <v>21</v>
      </c>
      <c r="W68" s="4">
        <f t="shared" si="0"/>
        <v>12</v>
      </c>
      <c r="X68" s="4">
        <f t="shared" si="0"/>
        <v>0</v>
      </c>
    </row>
    <row r="69" spans="1:24" x14ac:dyDescent="0.35">
      <c r="A69" s="39"/>
      <c r="B69" s="43"/>
      <c r="C69" s="43"/>
      <c r="D69" s="43"/>
      <c r="E69" s="42" t="s">
        <v>18</v>
      </c>
      <c r="F69" s="42"/>
      <c r="G69" s="30">
        <f>SUM(H18:H67)</f>
        <v>265</v>
      </c>
      <c r="H69" s="31"/>
      <c r="I69" s="4">
        <f t="shared" ref="I69:X69" si="1">SUM(I18:I67)</f>
        <v>253</v>
      </c>
      <c r="J69" s="4">
        <f t="shared" si="1"/>
        <v>240</v>
      </c>
      <c r="K69" s="4">
        <f t="shared" si="1"/>
        <v>231</v>
      </c>
      <c r="L69" s="4">
        <f t="shared" si="1"/>
        <v>217</v>
      </c>
      <c r="M69" s="4">
        <f t="shared" si="1"/>
        <v>190</v>
      </c>
      <c r="N69" s="4">
        <f t="shared" si="1"/>
        <v>189</v>
      </c>
      <c r="O69" s="4">
        <f t="shared" si="1"/>
        <v>171</v>
      </c>
      <c r="P69" s="4">
        <f t="shared" si="1"/>
        <v>142</v>
      </c>
      <c r="Q69" s="4">
        <f t="shared" si="1"/>
        <v>120</v>
      </c>
      <c r="R69" s="4">
        <f t="shared" si="1"/>
        <v>101</v>
      </c>
      <c r="S69" s="4">
        <f t="shared" si="1"/>
        <v>82</v>
      </c>
      <c r="T69" s="4">
        <f t="shared" si="1"/>
        <v>58</v>
      </c>
      <c r="U69" s="4">
        <f t="shared" si="1"/>
        <v>34</v>
      </c>
      <c r="V69" s="4">
        <f t="shared" si="1"/>
        <v>21</v>
      </c>
      <c r="W69" s="4">
        <f t="shared" si="1"/>
        <v>12</v>
      </c>
      <c r="X69" s="4">
        <f t="shared" si="1"/>
        <v>0</v>
      </c>
    </row>
    <row r="70" spans="1:24" x14ac:dyDescent="0.35">
      <c r="C70" s="41"/>
      <c r="D70" s="41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</row>
    <row r="71" spans="1:24" ht="30.5" customHeight="1" x14ac:dyDescent="0.5">
      <c r="A71" s="44" t="s">
        <v>89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</row>
    <row r="72" spans="1:24" ht="56" x14ac:dyDescent="0.35">
      <c r="A72" s="21" t="s">
        <v>7</v>
      </c>
      <c r="B72" s="21" t="s">
        <v>8</v>
      </c>
      <c r="C72" s="32" t="s">
        <v>9</v>
      </c>
      <c r="D72" s="32"/>
      <c r="E72" s="32" t="s">
        <v>10</v>
      </c>
      <c r="F72" s="32"/>
      <c r="G72" s="2" t="s">
        <v>11</v>
      </c>
      <c r="H72" s="2" t="s">
        <v>18</v>
      </c>
      <c r="I72" s="3">
        <v>46140</v>
      </c>
      <c r="J72" s="3">
        <v>46141</v>
      </c>
      <c r="K72" s="3">
        <v>46142</v>
      </c>
      <c r="L72" s="3">
        <v>46143</v>
      </c>
      <c r="M72" s="3">
        <v>46144</v>
      </c>
      <c r="N72" s="3">
        <v>46145</v>
      </c>
      <c r="O72" s="3">
        <v>46146</v>
      </c>
      <c r="P72" s="3">
        <v>46147</v>
      </c>
      <c r="Q72" s="3">
        <v>46148</v>
      </c>
      <c r="R72" s="3">
        <v>46149</v>
      </c>
      <c r="S72" s="3">
        <v>46150</v>
      </c>
      <c r="T72" s="3">
        <v>46151</v>
      </c>
      <c r="U72" s="3">
        <v>46152</v>
      </c>
      <c r="V72" s="3">
        <v>46153</v>
      </c>
      <c r="W72" s="3">
        <v>46154</v>
      </c>
      <c r="X72" s="3">
        <v>46155</v>
      </c>
    </row>
    <row r="73" spans="1:24" x14ac:dyDescent="0.35">
      <c r="A73" s="37" t="s">
        <v>272</v>
      </c>
      <c r="B73" s="37" t="s">
        <v>218</v>
      </c>
      <c r="C73" s="51" t="s">
        <v>91</v>
      </c>
      <c r="D73" s="52"/>
      <c r="E73" s="30" t="s">
        <v>17</v>
      </c>
      <c r="F73" s="31"/>
      <c r="G73" s="4">
        <v>4</v>
      </c>
      <c r="H73" s="4">
        <v>4</v>
      </c>
      <c r="I73" s="5">
        <v>0</v>
      </c>
      <c r="J73" s="18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</row>
    <row r="74" spans="1:24" x14ac:dyDescent="0.35">
      <c r="A74" s="27"/>
      <c r="B74" s="27"/>
      <c r="C74" s="53" t="s">
        <v>219</v>
      </c>
      <c r="D74" s="53"/>
      <c r="E74" s="30" t="s">
        <v>94</v>
      </c>
      <c r="F74" s="31"/>
      <c r="G74" s="4">
        <v>4</v>
      </c>
      <c r="H74" s="4">
        <v>4</v>
      </c>
      <c r="I74" s="5">
        <v>0</v>
      </c>
      <c r="J74" s="18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</row>
    <row r="75" spans="1:24" x14ac:dyDescent="0.35">
      <c r="A75" s="38"/>
      <c r="B75" s="39"/>
      <c r="C75" s="54" t="s">
        <v>220</v>
      </c>
      <c r="D75" s="55"/>
      <c r="E75" s="30" t="s">
        <v>95</v>
      </c>
      <c r="F75" s="31"/>
      <c r="G75" s="4">
        <v>4</v>
      </c>
      <c r="H75" s="4">
        <v>4</v>
      </c>
      <c r="I75" s="5">
        <v>0</v>
      </c>
      <c r="J75" s="18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</row>
    <row r="76" spans="1:24" x14ac:dyDescent="0.35">
      <c r="A76" s="38"/>
      <c r="B76" s="27" t="s">
        <v>13</v>
      </c>
      <c r="C76" s="28" t="s">
        <v>222</v>
      </c>
      <c r="D76" s="29"/>
      <c r="E76" s="30" t="s">
        <v>96</v>
      </c>
      <c r="F76" s="31"/>
      <c r="G76" s="4">
        <v>2</v>
      </c>
      <c r="H76" s="4">
        <v>4</v>
      </c>
      <c r="I76" s="4">
        <v>2</v>
      </c>
      <c r="J76" s="5">
        <v>0</v>
      </c>
      <c r="K76" s="18">
        <v>0</v>
      </c>
      <c r="L76" s="18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</row>
    <row r="77" spans="1:24" x14ac:dyDescent="0.35">
      <c r="A77" s="38"/>
      <c r="B77" s="27"/>
      <c r="C77" s="30"/>
      <c r="D77" s="31"/>
      <c r="E77" s="30"/>
      <c r="F77" s="31"/>
      <c r="G77" s="4"/>
      <c r="H77" s="4"/>
      <c r="I77" s="4"/>
      <c r="J77" s="6">
        <v>2</v>
      </c>
      <c r="K77" s="18"/>
      <c r="L77" s="18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35">
      <c r="A78" s="38"/>
      <c r="B78" s="27"/>
      <c r="C78" s="28" t="s">
        <v>223</v>
      </c>
      <c r="D78" s="29"/>
      <c r="E78" s="30" t="s">
        <v>95</v>
      </c>
      <c r="F78" s="31"/>
      <c r="G78" s="4">
        <v>4</v>
      </c>
      <c r="H78" s="4">
        <v>5</v>
      </c>
      <c r="I78" s="4">
        <v>4</v>
      </c>
      <c r="J78" s="4">
        <v>4</v>
      </c>
      <c r="K78" s="4">
        <v>4</v>
      </c>
      <c r="L78" s="5">
        <v>0</v>
      </c>
      <c r="M78" s="18">
        <v>0</v>
      </c>
      <c r="N78" s="18">
        <v>0</v>
      </c>
      <c r="O78" s="18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</row>
    <row r="79" spans="1:24" x14ac:dyDescent="0.35">
      <c r="A79" s="38"/>
      <c r="B79" s="27"/>
      <c r="C79" s="30"/>
      <c r="D79" s="31"/>
      <c r="E79" s="30"/>
      <c r="F79" s="31"/>
      <c r="G79" s="4"/>
      <c r="H79" s="4"/>
      <c r="I79" s="4"/>
      <c r="J79" s="4"/>
      <c r="K79" s="4"/>
      <c r="L79" s="6">
        <v>1</v>
      </c>
      <c r="M79" s="18"/>
      <c r="N79" s="18"/>
      <c r="O79" s="18"/>
      <c r="P79" s="4"/>
      <c r="Q79" s="4"/>
      <c r="R79" s="4"/>
      <c r="S79" s="4"/>
      <c r="T79" s="4"/>
      <c r="U79" s="4"/>
      <c r="V79" s="4"/>
      <c r="W79" s="4"/>
      <c r="X79" s="4"/>
    </row>
    <row r="80" spans="1:24" x14ac:dyDescent="0.35">
      <c r="A80" s="38"/>
      <c r="B80" s="27"/>
      <c r="C80" s="28" t="s">
        <v>273</v>
      </c>
      <c r="D80" s="29"/>
      <c r="E80" s="30" t="s">
        <v>96</v>
      </c>
      <c r="F80" s="31"/>
      <c r="G80" s="4">
        <v>4</v>
      </c>
      <c r="H80" s="4">
        <v>4</v>
      </c>
      <c r="I80" s="4">
        <v>4</v>
      </c>
      <c r="J80" s="4">
        <v>4</v>
      </c>
      <c r="K80" s="4">
        <v>4</v>
      </c>
      <c r="L80" s="4">
        <v>4</v>
      </c>
      <c r="M80" s="4">
        <v>4</v>
      </c>
      <c r="N80" s="4">
        <v>4</v>
      </c>
      <c r="O80" s="5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</row>
    <row r="81" spans="1:24" x14ac:dyDescent="0.35">
      <c r="A81" s="38"/>
      <c r="B81" s="27"/>
      <c r="C81" s="28" t="s">
        <v>224</v>
      </c>
      <c r="D81" s="29"/>
      <c r="E81" s="30" t="s">
        <v>95</v>
      </c>
      <c r="F81" s="31"/>
      <c r="G81" s="4">
        <v>6</v>
      </c>
      <c r="H81" s="4">
        <v>6</v>
      </c>
      <c r="I81" s="4">
        <v>6</v>
      </c>
      <c r="J81" s="4">
        <v>6</v>
      </c>
      <c r="K81" s="4">
        <v>6</v>
      </c>
      <c r="L81" s="4">
        <v>6</v>
      </c>
      <c r="M81" s="4">
        <v>6</v>
      </c>
      <c r="N81" s="4">
        <v>6</v>
      </c>
      <c r="O81" s="4">
        <v>6</v>
      </c>
      <c r="P81" s="5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</row>
    <row r="82" spans="1:24" x14ac:dyDescent="0.35">
      <c r="A82" s="38"/>
      <c r="B82" s="27"/>
      <c r="C82" s="28" t="s">
        <v>225</v>
      </c>
      <c r="D82" s="29"/>
      <c r="E82" s="30" t="s">
        <v>96</v>
      </c>
      <c r="F82" s="31"/>
      <c r="G82" s="4">
        <v>4</v>
      </c>
      <c r="H82" s="4">
        <v>4</v>
      </c>
      <c r="I82" s="4">
        <v>4</v>
      </c>
      <c r="J82" s="4">
        <v>4</v>
      </c>
      <c r="K82" s="4">
        <v>4</v>
      </c>
      <c r="L82" s="4">
        <v>4</v>
      </c>
      <c r="M82" s="4">
        <v>4</v>
      </c>
      <c r="N82" s="4">
        <v>4</v>
      </c>
      <c r="O82" s="4">
        <v>4</v>
      </c>
      <c r="P82" s="4">
        <v>4</v>
      </c>
      <c r="Q82" s="4">
        <v>4</v>
      </c>
      <c r="R82" s="4">
        <v>4</v>
      </c>
      <c r="S82" s="5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</row>
    <row r="83" spans="1:24" x14ac:dyDescent="0.35">
      <c r="A83" s="38"/>
      <c r="B83" s="27"/>
      <c r="C83" s="28" t="s">
        <v>226</v>
      </c>
      <c r="D83" s="29"/>
      <c r="E83" s="30" t="s">
        <v>95</v>
      </c>
      <c r="F83" s="31"/>
      <c r="G83" s="4">
        <v>4</v>
      </c>
      <c r="H83" s="4">
        <v>4</v>
      </c>
      <c r="I83" s="4">
        <v>4</v>
      </c>
      <c r="J83" s="4">
        <v>4</v>
      </c>
      <c r="K83" s="4">
        <v>4</v>
      </c>
      <c r="L83" s="4">
        <v>4</v>
      </c>
      <c r="M83" s="4">
        <v>4</v>
      </c>
      <c r="N83" s="4">
        <v>4</v>
      </c>
      <c r="O83" s="4">
        <v>4</v>
      </c>
      <c r="P83" s="4">
        <v>4</v>
      </c>
      <c r="Q83" s="4">
        <v>4</v>
      </c>
      <c r="R83" s="4">
        <v>4</v>
      </c>
      <c r="S83" s="4">
        <v>4</v>
      </c>
      <c r="T83" s="4">
        <v>4</v>
      </c>
      <c r="U83" s="5">
        <v>0</v>
      </c>
      <c r="V83" s="4">
        <v>0</v>
      </c>
      <c r="W83" s="4">
        <v>0</v>
      </c>
      <c r="X83" s="4">
        <v>0</v>
      </c>
    </row>
    <row r="84" spans="1:24" x14ac:dyDescent="0.35">
      <c r="A84" s="27"/>
      <c r="B84" s="27" t="s">
        <v>14</v>
      </c>
      <c r="C84" s="53" t="s">
        <v>227</v>
      </c>
      <c r="D84" s="53"/>
      <c r="E84" s="30" t="s">
        <v>94</v>
      </c>
      <c r="F84" s="31"/>
      <c r="G84" s="4">
        <v>7</v>
      </c>
      <c r="H84" s="4">
        <v>10</v>
      </c>
      <c r="I84" s="4">
        <v>7</v>
      </c>
      <c r="J84" s="5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</row>
    <row r="85" spans="1:24" x14ac:dyDescent="0.35">
      <c r="A85" s="38"/>
      <c r="B85" s="38"/>
      <c r="C85" s="60"/>
      <c r="D85" s="61"/>
      <c r="E85" s="30"/>
      <c r="F85" s="31"/>
      <c r="G85" s="4"/>
      <c r="H85" s="4"/>
      <c r="I85" s="4"/>
      <c r="J85" s="6">
        <v>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x14ac:dyDescent="0.35">
      <c r="A86" s="38"/>
      <c r="B86" s="38"/>
      <c r="C86" s="53" t="s">
        <v>228</v>
      </c>
      <c r="D86" s="53"/>
      <c r="E86" s="30" t="s">
        <v>103</v>
      </c>
      <c r="F86" s="31"/>
      <c r="G86" s="4">
        <v>8</v>
      </c>
      <c r="H86" s="4">
        <v>8</v>
      </c>
      <c r="I86" s="4">
        <v>8</v>
      </c>
      <c r="J86" s="4">
        <v>8</v>
      </c>
      <c r="K86" s="5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</row>
    <row r="87" spans="1:24" x14ac:dyDescent="0.35">
      <c r="A87" s="27"/>
      <c r="B87" s="27"/>
      <c r="C87" s="53" t="s">
        <v>229</v>
      </c>
      <c r="D87" s="53"/>
      <c r="E87" s="30" t="s">
        <v>94</v>
      </c>
      <c r="F87" s="31"/>
      <c r="G87" s="4">
        <v>11</v>
      </c>
      <c r="H87" s="4">
        <v>14</v>
      </c>
      <c r="I87" s="4">
        <v>11</v>
      </c>
      <c r="J87" s="4">
        <v>11</v>
      </c>
      <c r="K87" s="4">
        <v>11</v>
      </c>
      <c r="L87" s="4">
        <v>2</v>
      </c>
      <c r="M87" s="5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</row>
    <row r="88" spans="1:24" x14ac:dyDescent="0.35">
      <c r="A88" s="38"/>
      <c r="B88" s="38"/>
      <c r="C88" s="60"/>
      <c r="D88" s="61"/>
      <c r="E88" s="30"/>
      <c r="F88" s="31"/>
      <c r="G88" s="4"/>
      <c r="H88" s="4"/>
      <c r="I88" s="4"/>
      <c r="J88" s="4"/>
      <c r="K88" s="4"/>
      <c r="L88" s="4"/>
      <c r="M88" s="6">
        <v>3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x14ac:dyDescent="0.35">
      <c r="A89" s="38"/>
      <c r="B89" s="38"/>
      <c r="C89" s="53" t="s">
        <v>230</v>
      </c>
      <c r="D89" s="53"/>
      <c r="E89" s="30" t="s">
        <v>104</v>
      </c>
      <c r="F89" s="31"/>
      <c r="G89" s="4">
        <v>10</v>
      </c>
      <c r="H89" s="4">
        <v>10</v>
      </c>
      <c r="I89" s="4">
        <v>10</v>
      </c>
      <c r="J89" s="4">
        <v>10</v>
      </c>
      <c r="K89" s="4">
        <v>10</v>
      </c>
      <c r="L89" s="4">
        <v>10</v>
      </c>
      <c r="M89" s="4">
        <v>1</v>
      </c>
      <c r="N89" s="5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</row>
    <row r="90" spans="1:24" x14ac:dyDescent="0.35">
      <c r="A90" s="27"/>
      <c r="B90" s="27"/>
      <c r="C90" s="53" t="s">
        <v>274</v>
      </c>
      <c r="D90" s="53"/>
      <c r="E90" s="30" t="s">
        <v>94</v>
      </c>
      <c r="F90" s="31"/>
      <c r="G90" s="4">
        <v>14</v>
      </c>
      <c r="H90" s="4">
        <v>10</v>
      </c>
      <c r="I90" s="4">
        <v>14</v>
      </c>
      <c r="J90" s="4">
        <v>14</v>
      </c>
      <c r="K90" s="4">
        <v>14</v>
      </c>
      <c r="L90" s="4">
        <v>14</v>
      </c>
      <c r="M90" s="4">
        <v>14</v>
      </c>
      <c r="N90" s="4">
        <v>14</v>
      </c>
      <c r="O90" s="4">
        <v>10</v>
      </c>
      <c r="P90" s="4">
        <v>1</v>
      </c>
      <c r="Q90" s="5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</row>
    <row r="91" spans="1:24" x14ac:dyDescent="0.35">
      <c r="A91" s="38"/>
      <c r="B91" s="38"/>
      <c r="C91" s="60"/>
      <c r="D91" s="61"/>
      <c r="E91" s="30"/>
      <c r="F91" s="31"/>
      <c r="G91" s="4"/>
      <c r="H91" s="4"/>
      <c r="I91" s="4"/>
      <c r="J91" s="4"/>
      <c r="K91" s="4"/>
      <c r="L91" s="4"/>
      <c r="M91" s="4"/>
      <c r="N91" s="4"/>
      <c r="O91" s="4"/>
      <c r="P91" s="4"/>
      <c r="Q91" s="7">
        <v>4</v>
      </c>
      <c r="R91" s="4"/>
      <c r="S91" s="4"/>
      <c r="T91" s="4"/>
      <c r="U91" s="4"/>
      <c r="V91" s="4"/>
      <c r="W91" s="4"/>
      <c r="X91" s="4"/>
    </row>
    <row r="92" spans="1:24" x14ac:dyDescent="0.35">
      <c r="A92" s="38"/>
      <c r="B92" s="38"/>
      <c r="C92" s="53" t="s">
        <v>275</v>
      </c>
      <c r="D92" s="53"/>
      <c r="E92" s="30" t="s">
        <v>103</v>
      </c>
      <c r="F92" s="31"/>
      <c r="G92" s="4">
        <v>8</v>
      </c>
      <c r="H92" s="4">
        <v>8</v>
      </c>
      <c r="I92" s="4">
        <v>8</v>
      </c>
      <c r="J92" s="4">
        <v>8</v>
      </c>
      <c r="K92" s="4">
        <v>8</v>
      </c>
      <c r="L92" s="4">
        <v>8</v>
      </c>
      <c r="M92" s="4">
        <v>8</v>
      </c>
      <c r="N92" s="4">
        <v>8</v>
      </c>
      <c r="O92" s="4">
        <v>8</v>
      </c>
      <c r="P92" s="5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</row>
    <row r="93" spans="1:24" x14ac:dyDescent="0.35">
      <c r="A93" s="27"/>
      <c r="B93" s="27"/>
      <c r="C93" s="53" t="s">
        <v>231</v>
      </c>
      <c r="D93" s="53"/>
      <c r="E93" s="30" t="s">
        <v>94</v>
      </c>
      <c r="F93" s="31"/>
      <c r="G93" s="4">
        <v>20</v>
      </c>
      <c r="H93" s="4">
        <v>18</v>
      </c>
      <c r="I93" s="4">
        <v>20</v>
      </c>
      <c r="J93" s="4">
        <v>20</v>
      </c>
      <c r="K93" s="4">
        <v>20</v>
      </c>
      <c r="L93" s="4">
        <v>20</v>
      </c>
      <c r="M93" s="4">
        <v>20</v>
      </c>
      <c r="N93" s="4">
        <v>20</v>
      </c>
      <c r="O93" s="4">
        <v>20</v>
      </c>
      <c r="P93" s="4">
        <v>20</v>
      </c>
      <c r="Q93" s="4">
        <v>12</v>
      </c>
      <c r="R93" s="4">
        <v>7</v>
      </c>
      <c r="S93" s="5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</row>
    <row r="94" spans="1:24" x14ac:dyDescent="0.35">
      <c r="A94" s="38"/>
      <c r="B94" s="38"/>
      <c r="C94" s="60"/>
      <c r="D94" s="61"/>
      <c r="E94" s="30"/>
      <c r="F94" s="3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7">
        <v>2</v>
      </c>
      <c r="T94" s="4"/>
      <c r="U94" s="4"/>
      <c r="V94" s="4"/>
      <c r="W94" s="4"/>
      <c r="X94" s="4"/>
    </row>
    <row r="95" spans="1:24" x14ac:dyDescent="0.35">
      <c r="A95" s="38"/>
      <c r="B95" s="38"/>
      <c r="C95" s="53" t="s">
        <v>232</v>
      </c>
      <c r="D95" s="53"/>
      <c r="E95" s="30" t="s">
        <v>104</v>
      </c>
      <c r="F95" s="31"/>
      <c r="G95" s="4">
        <v>17</v>
      </c>
      <c r="H95" s="4">
        <v>14</v>
      </c>
      <c r="I95" s="4">
        <v>17</v>
      </c>
      <c r="J95" s="4">
        <v>17</v>
      </c>
      <c r="K95" s="4">
        <v>17</v>
      </c>
      <c r="L95" s="4">
        <v>17</v>
      </c>
      <c r="M95" s="4">
        <v>17</v>
      </c>
      <c r="N95" s="4">
        <v>17</v>
      </c>
      <c r="O95" s="4">
        <v>17</v>
      </c>
      <c r="P95" s="4">
        <v>17</v>
      </c>
      <c r="Q95" s="4">
        <v>8</v>
      </c>
      <c r="R95" s="5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</row>
    <row r="96" spans="1:24" x14ac:dyDescent="0.35">
      <c r="A96" s="38"/>
      <c r="B96" s="38"/>
      <c r="C96" s="30"/>
      <c r="D96" s="31"/>
      <c r="E96" s="30"/>
      <c r="F96" s="3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7">
        <v>3</v>
      </c>
      <c r="S96" s="4"/>
      <c r="T96" s="4"/>
      <c r="U96" s="4"/>
      <c r="V96" s="4"/>
      <c r="W96" s="4"/>
      <c r="X96" s="4"/>
    </row>
    <row r="97" spans="1:24" x14ac:dyDescent="0.35">
      <c r="A97" s="27"/>
      <c r="B97" s="27"/>
      <c r="C97" s="53" t="s">
        <v>233</v>
      </c>
      <c r="D97" s="53"/>
      <c r="E97" s="30" t="s">
        <v>94</v>
      </c>
      <c r="F97" s="31"/>
      <c r="G97" s="4">
        <v>8</v>
      </c>
      <c r="H97" s="4">
        <v>10</v>
      </c>
      <c r="I97" s="4">
        <v>8</v>
      </c>
      <c r="J97" s="4">
        <v>8</v>
      </c>
      <c r="K97" s="4">
        <v>8</v>
      </c>
      <c r="L97" s="4">
        <v>8</v>
      </c>
      <c r="M97" s="4">
        <v>8</v>
      </c>
      <c r="N97" s="4">
        <v>8</v>
      </c>
      <c r="O97" s="4">
        <v>8</v>
      </c>
      <c r="P97" s="4">
        <v>8</v>
      </c>
      <c r="Q97" s="4">
        <v>8</v>
      </c>
      <c r="R97" s="4">
        <v>8</v>
      </c>
      <c r="S97" s="4">
        <v>6</v>
      </c>
      <c r="T97" s="5">
        <v>0</v>
      </c>
      <c r="U97" s="4">
        <v>0</v>
      </c>
      <c r="V97" s="4">
        <v>0</v>
      </c>
      <c r="W97" s="4">
        <v>0</v>
      </c>
      <c r="X97" s="4">
        <v>0</v>
      </c>
    </row>
    <row r="98" spans="1:24" x14ac:dyDescent="0.35">
      <c r="A98" s="38"/>
      <c r="B98" s="38"/>
      <c r="C98" s="60"/>
      <c r="D98" s="61"/>
      <c r="E98" s="30"/>
      <c r="F98" s="3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6">
        <v>2</v>
      </c>
      <c r="U98" s="4"/>
      <c r="V98" s="4"/>
      <c r="W98" s="4"/>
      <c r="X98" s="4"/>
    </row>
    <row r="99" spans="1:24" x14ac:dyDescent="0.35">
      <c r="A99" s="38"/>
      <c r="B99" s="38"/>
      <c r="C99" s="53" t="s">
        <v>234</v>
      </c>
      <c r="D99" s="53"/>
      <c r="E99" s="30" t="s">
        <v>103</v>
      </c>
      <c r="F99" s="31"/>
      <c r="G99" s="4">
        <v>8</v>
      </c>
      <c r="H99" s="4">
        <v>8</v>
      </c>
      <c r="I99" s="4">
        <v>8</v>
      </c>
      <c r="J99" s="4">
        <v>8</v>
      </c>
      <c r="K99" s="4">
        <v>8</v>
      </c>
      <c r="L99" s="4">
        <v>8</v>
      </c>
      <c r="M99" s="4">
        <v>8</v>
      </c>
      <c r="N99" s="4">
        <v>8</v>
      </c>
      <c r="O99" s="4">
        <v>8</v>
      </c>
      <c r="P99" s="4">
        <v>8</v>
      </c>
      <c r="Q99" s="4">
        <v>8</v>
      </c>
      <c r="R99" s="4">
        <v>8</v>
      </c>
      <c r="S99" s="4">
        <v>8</v>
      </c>
      <c r="T99" s="5">
        <v>0</v>
      </c>
      <c r="U99" s="4">
        <v>0</v>
      </c>
      <c r="V99" s="4">
        <v>0</v>
      </c>
      <c r="W99" s="4">
        <v>0</v>
      </c>
      <c r="X99" s="4">
        <v>0</v>
      </c>
    </row>
    <row r="100" spans="1:24" x14ac:dyDescent="0.35">
      <c r="A100" s="27"/>
      <c r="B100" s="27"/>
      <c r="C100" s="53" t="s">
        <v>235</v>
      </c>
      <c r="D100" s="53"/>
      <c r="E100" s="30" t="s">
        <v>94</v>
      </c>
      <c r="F100" s="31"/>
      <c r="G100" s="4">
        <v>9</v>
      </c>
      <c r="H100" s="4">
        <v>9</v>
      </c>
      <c r="I100" s="4">
        <v>9</v>
      </c>
      <c r="J100" s="4">
        <v>9</v>
      </c>
      <c r="K100" s="4">
        <v>9</v>
      </c>
      <c r="L100" s="4">
        <v>9</v>
      </c>
      <c r="M100" s="4">
        <v>9</v>
      </c>
      <c r="N100" s="4">
        <v>9</v>
      </c>
      <c r="O100" s="4">
        <v>9</v>
      </c>
      <c r="P100" s="4">
        <v>9</v>
      </c>
      <c r="Q100" s="4">
        <v>9</v>
      </c>
      <c r="R100" s="4">
        <v>9</v>
      </c>
      <c r="S100" s="4">
        <v>9</v>
      </c>
      <c r="T100" s="4">
        <v>9</v>
      </c>
      <c r="U100" s="5">
        <v>0</v>
      </c>
      <c r="V100" s="4">
        <v>0</v>
      </c>
      <c r="W100" s="4">
        <v>0</v>
      </c>
      <c r="X100" s="4">
        <v>0</v>
      </c>
    </row>
    <row r="101" spans="1:24" x14ac:dyDescent="0.35">
      <c r="A101" s="38"/>
      <c r="B101" s="38"/>
      <c r="C101" s="56" t="s">
        <v>236</v>
      </c>
      <c r="D101" s="57"/>
      <c r="E101" s="30" t="s">
        <v>104</v>
      </c>
      <c r="F101" s="31"/>
      <c r="G101" s="4">
        <v>7</v>
      </c>
      <c r="H101" s="4">
        <v>7</v>
      </c>
      <c r="I101" s="4">
        <v>7</v>
      </c>
      <c r="J101" s="4">
        <v>7</v>
      </c>
      <c r="K101" s="4">
        <v>7</v>
      </c>
      <c r="L101" s="4">
        <v>7</v>
      </c>
      <c r="M101" s="4">
        <v>7</v>
      </c>
      <c r="N101" s="4">
        <v>7</v>
      </c>
      <c r="O101" s="4">
        <v>7</v>
      </c>
      <c r="P101" s="4">
        <v>7</v>
      </c>
      <c r="Q101" s="4">
        <v>7</v>
      </c>
      <c r="R101" s="4">
        <v>7</v>
      </c>
      <c r="S101" s="4">
        <v>7</v>
      </c>
      <c r="T101" s="4">
        <v>7</v>
      </c>
      <c r="U101" s="5">
        <v>0</v>
      </c>
      <c r="V101" s="4">
        <v>0</v>
      </c>
      <c r="W101" s="4">
        <v>0</v>
      </c>
      <c r="X101" s="4">
        <v>0</v>
      </c>
    </row>
    <row r="102" spans="1:24" x14ac:dyDescent="0.35">
      <c r="A102" s="38"/>
      <c r="B102" s="27" t="s">
        <v>15</v>
      </c>
      <c r="C102" s="28" t="s">
        <v>237</v>
      </c>
      <c r="D102" s="29"/>
      <c r="E102" s="30" t="s">
        <v>96</v>
      </c>
      <c r="F102" s="31"/>
      <c r="G102" s="4">
        <v>4</v>
      </c>
      <c r="H102" s="4">
        <v>4</v>
      </c>
      <c r="I102" s="4">
        <v>4</v>
      </c>
      <c r="J102" s="4">
        <v>4</v>
      </c>
      <c r="K102" s="4">
        <v>4</v>
      </c>
      <c r="L102" s="5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</row>
    <row r="103" spans="1:24" x14ac:dyDescent="0.35">
      <c r="A103" s="38"/>
      <c r="B103" s="27"/>
      <c r="C103" s="28" t="s">
        <v>238</v>
      </c>
      <c r="D103" s="29"/>
      <c r="E103" s="30" t="s">
        <v>95</v>
      </c>
      <c r="F103" s="31"/>
      <c r="G103" s="4">
        <v>5</v>
      </c>
      <c r="H103" s="4">
        <v>5</v>
      </c>
      <c r="I103" s="4">
        <v>5</v>
      </c>
      <c r="J103" s="4">
        <v>5</v>
      </c>
      <c r="K103" s="4">
        <v>5</v>
      </c>
      <c r="L103" s="4">
        <v>5</v>
      </c>
      <c r="M103" s="4">
        <v>5</v>
      </c>
      <c r="N103" s="5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</row>
    <row r="104" spans="1:24" x14ac:dyDescent="0.35">
      <c r="A104" s="38"/>
      <c r="B104" s="27"/>
      <c r="C104" s="28" t="s">
        <v>276</v>
      </c>
      <c r="D104" s="29"/>
      <c r="E104" s="30" t="s">
        <v>96</v>
      </c>
      <c r="F104" s="31"/>
      <c r="G104" s="4">
        <v>4</v>
      </c>
      <c r="H104" s="4">
        <v>4</v>
      </c>
      <c r="I104" s="4">
        <v>4</v>
      </c>
      <c r="J104" s="4">
        <v>4</v>
      </c>
      <c r="K104" s="4">
        <v>4</v>
      </c>
      <c r="L104" s="4">
        <v>4</v>
      </c>
      <c r="M104" s="4">
        <v>4</v>
      </c>
      <c r="N104" s="4">
        <v>4</v>
      </c>
      <c r="O104" s="4">
        <v>4</v>
      </c>
      <c r="P104" s="4">
        <v>4</v>
      </c>
      <c r="Q104" s="5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</row>
    <row r="105" spans="1:24" x14ac:dyDescent="0.35">
      <c r="A105" s="38"/>
      <c r="B105" s="27"/>
      <c r="C105" s="28" t="s">
        <v>239</v>
      </c>
      <c r="D105" s="29"/>
      <c r="E105" s="30" t="s">
        <v>95</v>
      </c>
      <c r="F105" s="31"/>
      <c r="G105" s="4">
        <v>6</v>
      </c>
      <c r="H105" s="4">
        <v>6</v>
      </c>
      <c r="I105" s="4">
        <v>6</v>
      </c>
      <c r="J105" s="4">
        <v>6</v>
      </c>
      <c r="K105" s="4">
        <v>6</v>
      </c>
      <c r="L105" s="4">
        <v>6</v>
      </c>
      <c r="M105" s="4">
        <v>6</v>
      </c>
      <c r="N105" s="4">
        <v>6</v>
      </c>
      <c r="O105" s="4">
        <v>6</v>
      </c>
      <c r="P105" s="4">
        <v>6</v>
      </c>
      <c r="Q105" s="4">
        <v>6</v>
      </c>
      <c r="R105" s="4">
        <v>6</v>
      </c>
      <c r="S105" s="5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</row>
    <row r="106" spans="1:24" x14ac:dyDescent="0.35">
      <c r="A106" s="38"/>
      <c r="B106" s="27"/>
      <c r="C106" s="28" t="s">
        <v>240</v>
      </c>
      <c r="D106" s="29"/>
      <c r="E106" s="30" t="s">
        <v>96</v>
      </c>
      <c r="F106" s="31"/>
      <c r="G106" s="4">
        <v>4</v>
      </c>
      <c r="H106" s="4">
        <v>4</v>
      </c>
      <c r="I106" s="4">
        <v>4</v>
      </c>
      <c r="J106" s="4">
        <v>4</v>
      </c>
      <c r="K106" s="4">
        <v>4</v>
      </c>
      <c r="L106" s="4">
        <v>4</v>
      </c>
      <c r="M106" s="4">
        <v>4</v>
      </c>
      <c r="N106" s="4">
        <v>4</v>
      </c>
      <c r="O106" s="4">
        <v>4</v>
      </c>
      <c r="P106" s="4">
        <v>4</v>
      </c>
      <c r="Q106" s="4">
        <v>4</v>
      </c>
      <c r="R106" s="4">
        <v>4</v>
      </c>
      <c r="S106" s="4">
        <v>4</v>
      </c>
      <c r="T106" s="4">
        <v>4</v>
      </c>
      <c r="U106" s="5">
        <v>0</v>
      </c>
      <c r="V106" s="4">
        <v>0</v>
      </c>
      <c r="W106" s="4">
        <v>0</v>
      </c>
      <c r="X106" s="4">
        <v>0</v>
      </c>
    </row>
    <row r="107" spans="1:24" x14ac:dyDescent="0.35">
      <c r="A107" s="38"/>
      <c r="B107" s="27"/>
      <c r="C107" s="28" t="s">
        <v>241</v>
      </c>
      <c r="D107" s="29"/>
      <c r="E107" s="30" t="s">
        <v>95</v>
      </c>
      <c r="F107" s="31"/>
      <c r="G107" s="4">
        <v>4</v>
      </c>
      <c r="H107" s="4">
        <v>4</v>
      </c>
      <c r="I107" s="4">
        <v>4</v>
      </c>
      <c r="J107" s="4">
        <v>4</v>
      </c>
      <c r="K107" s="4">
        <v>4</v>
      </c>
      <c r="L107" s="4">
        <v>4</v>
      </c>
      <c r="M107" s="4">
        <v>4</v>
      </c>
      <c r="N107" s="4">
        <v>4</v>
      </c>
      <c r="O107" s="4">
        <v>4</v>
      </c>
      <c r="P107" s="4">
        <v>4</v>
      </c>
      <c r="Q107" s="4">
        <v>4</v>
      </c>
      <c r="R107" s="4">
        <v>4</v>
      </c>
      <c r="S107" s="4">
        <v>4</v>
      </c>
      <c r="T107" s="4">
        <v>4</v>
      </c>
      <c r="U107" s="4">
        <v>4</v>
      </c>
      <c r="V107" s="5">
        <v>0</v>
      </c>
      <c r="W107" s="4">
        <v>0</v>
      </c>
      <c r="X107" s="4">
        <v>0</v>
      </c>
    </row>
    <row r="108" spans="1:24" x14ac:dyDescent="0.35">
      <c r="A108" s="27"/>
      <c r="B108" s="27" t="s">
        <v>123</v>
      </c>
      <c r="C108" s="53" t="s">
        <v>242</v>
      </c>
      <c r="D108" s="53"/>
      <c r="E108" s="30" t="s">
        <v>94</v>
      </c>
      <c r="F108" s="31"/>
      <c r="G108" s="4">
        <v>3</v>
      </c>
      <c r="H108" s="4">
        <v>4</v>
      </c>
      <c r="I108" s="4">
        <v>3</v>
      </c>
      <c r="J108" s="4">
        <v>3</v>
      </c>
      <c r="K108" s="4">
        <v>3</v>
      </c>
      <c r="L108" s="4">
        <v>3</v>
      </c>
      <c r="M108" s="5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</row>
    <row r="109" spans="1:24" x14ac:dyDescent="0.35">
      <c r="A109" s="38"/>
      <c r="B109" s="38"/>
      <c r="C109" s="60"/>
      <c r="D109" s="61"/>
      <c r="E109" s="30"/>
      <c r="F109" s="31"/>
      <c r="G109" s="4"/>
      <c r="H109" s="4"/>
      <c r="I109" s="4"/>
      <c r="J109" s="4"/>
      <c r="K109" s="4"/>
      <c r="L109" s="4"/>
      <c r="M109" s="6">
        <v>1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x14ac:dyDescent="0.35">
      <c r="A110" s="38"/>
      <c r="B110" s="38"/>
      <c r="C110" s="53" t="s">
        <v>243</v>
      </c>
      <c r="D110" s="53"/>
      <c r="E110" s="30" t="s">
        <v>103</v>
      </c>
      <c r="F110" s="31"/>
      <c r="G110" s="4">
        <v>3</v>
      </c>
      <c r="H110" s="4">
        <v>3</v>
      </c>
      <c r="I110" s="4">
        <v>3</v>
      </c>
      <c r="J110" s="4">
        <v>3</v>
      </c>
      <c r="K110" s="4">
        <v>3</v>
      </c>
      <c r="L110" s="4">
        <v>3</v>
      </c>
      <c r="M110" s="5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</row>
    <row r="111" spans="1:24" x14ac:dyDescent="0.35">
      <c r="A111" s="27"/>
      <c r="B111" s="27"/>
      <c r="C111" s="53" t="s">
        <v>244</v>
      </c>
      <c r="D111" s="53"/>
      <c r="E111" s="30" t="s">
        <v>94</v>
      </c>
      <c r="F111" s="31"/>
      <c r="G111" s="4">
        <v>5</v>
      </c>
      <c r="H111" s="4">
        <v>5</v>
      </c>
      <c r="I111" s="4">
        <v>5</v>
      </c>
      <c r="J111" s="4">
        <v>5</v>
      </c>
      <c r="K111" s="4">
        <v>5</v>
      </c>
      <c r="L111" s="4">
        <v>5</v>
      </c>
      <c r="M111" s="4">
        <v>5</v>
      </c>
      <c r="N111" s="4">
        <v>5</v>
      </c>
      <c r="O111" s="5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</row>
    <row r="112" spans="1:24" x14ac:dyDescent="0.35">
      <c r="A112" s="38"/>
      <c r="B112" s="38"/>
      <c r="C112" s="56" t="s">
        <v>245</v>
      </c>
      <c r="D112" s="57"/>
      <c r="E112" s="30" t="s">
        <v>104</v>
      </c>
      <c r="F112" s="31"/>
      <c r="G112" s="4">
        <v>4</v>
      </c>
      <c r="H112" s="4">
        <v>4</v>
      </c>
      <c r="I112" s="4">
        <v>4</v>
      </c>
      <c r="J112" s="4">
        <v>4</v>
      </c>
      <c r="K112" s="4">
        <v>4</v>
      </c>
      <c r="L112" s="4">
        <v>4</v>
      </c>
      <c r="M112" s="4">
        <v>4</v>
      </c>
      <c r="N112" s="4">
        <v>4</v>
      </c>
      <c r="O112" s="5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</row>
    <row r="113" spans="1:24" x14ac:dyDescent="0.35">
      <c r="A113" s="27"/>
      <c r="B113" s="27"/>
      <c r="C113" s="53" t="s">
        <v>277</v>
      </c>
      <c r="D113" s="53"/>
      <c r="E113" s="30" t="s">
        <v>94</v>
      </c>
      <c r="F113" s="31"/>
      <c r="G113" s="4">
        <v>4</v>
      </c>
      <c r="H113" s="4">
        <v>4</v>
      </c>
      <c r="I113" s="4">
        <v>4</v>
      </c>
      <c r="J113" s="4">
        <v>4</v>
      </c>
      <c r="K113" s="4">
        <v>4</v>
      </c>
      <c r="L113" s="4">
        <v>4</v>
      </c>
      <c r="M113" s="4">
        <v>4</v>
      </c>
      <c r="N113" s="4">
        <v>4</v>
      </c>
      <c r="O113" s="4">
        <v>4</v>
      </c>
      <c r="P113" s="4">
        <v>4</v>
      </c>
      <c r="Q113" s="4">
        <v>4</v>
      </c>
      <c r="R113" s="5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</row>
    <row r="114" spans="1:24" x14ac:dyDescent="0.35">
      <c r="A114" s="38"/>
      <c r="B114" s="38"/>
      <c r="C114" s="56" t="s">
        <v>278</v>
      </c>
      <c r="D114" s="57"/>
      <c r="E114" s="30" t="s">
        <v>103</v>
      </c>
      <c r="F114" s="31"/>
      <c r="G114" s="4">
        <v>3</v>
      </c>
      <c r="H114" s="4">
        <v>3</v>
      </c>
      <c r="I114" s="4">
        <v>3</v>
      </c>
      <c r="J114" s="4">
        <v>3</v>
      </c>
      <c r="K114" s="4">
        <v>3</v>
      </c>
      <c r="L114" s="4">
        <v>3</v>
      </c>
      <c r="M114" s="4">
        <v>3</v>
      </c>
      <c r="N114" s="4">
        <v>3</v>
      </c>
      <c r="O114" s="4">
        <v>3</v>
      </c>
      <c r="P114" s="4">
        <v>3</v>
      </c>
      <c r="Q114" s="4">
        <v>3</v>
      </c>
      <c r="R114" s="5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</row>
    <row r="115" spans="1:24" x14ac:dyDescent="0.35">
      <c r="A115" s="27"/>
      <c r="B115" s="27"/>
      <c r="C115" s="53" t="s">
        <v>246</v>
      </c>
      <c r="D115" s="53"/>
      <c r="E115" s="30" t="s">
        <v>94</v>
      </c>
      <c r="F115" s="31"/>
      <c r="G115" s="4">
        <v>5</v>
      </c>
      <c r="H115" s="4">
        <v>6</v>
      </c>
      <c r="I115" s="4">
        <v>5</v>
      </c>
      <c r="J115" s="4">
        <v>5</v>
      </c>
      <c r="K115" s="4">
        <v>5</v>
      </c>
      <c r="L115" s="4">
        <v>5</v>
      </c>
      <c r="M115" s="4">
        <v>5</v>
      </c>
      <c r="N115" s="4">
        <v>5</v>
      </c>
      <c r="O115" s="4">
        <v>5</v>
      </c>
      <c r="P115" s="4">
        <v>5</v>
      </c>
      <c r="Q115" s="4">
        <v>5</v>
      </c>
      <c r="R115" s="4">
        <v>5</v>
      </c>
      <c r="S115" s="4">
        <v>5</v>
      </c>
      <c r="T115" s="5">
        <v>0</v>
      </c>
      <c r="U115" s="4">
        <v>0</v>
      </c>
      <c r="V115" s="4">
        <v>0</v>
      </c>
      <c r="W115" s="4">
        <v>0</v>
      </c>
      <c r="X115" s="4">
        <v>0</v>
      </c>
    </row>
    <row r="116" spans="1:24" x14ac:dyDescent="0.35">
      <c r="A116" s="38"/>
      <c r="B116" s="38"/>
      <c r="C116" s="60"/>
      <c r="D116" s="61"/>
      <c r="E116" s="30"/>
      <c r="F116" s="3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6">
        <v>1</v>
      </c>
      <c r="U116" s="4"/>
      <c r="V116" s="4"/>
      <c r="W116" s="4"/>
      <c r="X116" s="4"/>
    </row>
    <row r="117" spans="1:24" x14ac:dyDescent="0.35">
      <c r="A117" s="38"/>
      <c r="B117" s="38"/>
      <c r="C117" s="53" t="s">
        <v>247</v>
      </c>
      <c r="D117" s="53"/>
      <c r="E117" s="30" t="s">
        <v>104</v>
      </c>
      <c r="F117" s="31"/>
      <c r="G117" s="4">
        <v>5</v>
      </c>
      <c r="H117" s="4">
        <v>5</v>
      </c>
      <c r="I117" s="4">
        <v>5</v>
      </c>
      <c r="J117" s="4">
        <v>5</v>
      </c>
      <c r="K117" s="4">
        <v>5</v>
      </c>
      <c r="L117" s="4">
        <v>5</v>
      </c>
      <c r="M117" s="4">
        <v>5</v>
      </c>
      <c r="N117" s="4">
        <v>5</v>
      </c>
      <c r="O117" s="4">
        <v>5</v>
      </c>
      <c r="P117" s="4">
        <v>5</v>
      </c>
      <c r="Q117" s="4">
        <v>5</v>
      </c>
      <c r="R117" s="4">
        <v>5</v>
      </c>
      <c r="S117" s="4">
        <v>5</v>
      </c>
      <c r="T117" s="5">
        <v>0</v>
      </c>
      <c r="U117" s="4">
        <v>0</v>
      </c>
      <c r="V117" s="4">
        <v>0</v>
      </c>
      <c r="W117" s="4">
        <v>0</v>
      </c>
      <c r="X117" s="4">
        <v>0</v>
      </c>
    </row>
    <row r="118" spans="1:24" x14ac:dyDescent="0.35">
      <c r="A118" s="27"/>
      <c r="B118" s="27"/>
      <c r="C118" s="53" t="s">
        <v>248</v>
      </c>
      <c r="D118" s="53"/>
      <c r="E118" s="30" t="s">
        <v>94</v>
      </c>
      <c r="F118" s="31"/>
      <c r="G118" s="4">
        <v>4</v>
      </c>
      <c r="H118" s="4">
        <v>4</v>
      </c>
      <c r="I118" s="4">
        <v>4</v>
      </c>
      <c r="J118" s="4">
        <v>4</v>
      </c>
      <c r="K118" s="4">
        <v>4</v>
      </c>
      <c r="L118" s="4">
        <v>4</v>
      </c>
      <c r="M118" s="4">
        <v>4</v>
      </c>
      <c r="N118" s="4">
        <v>4</v>
      </c>
      <c r="O118" s="4">
        <v>4</v>
      </c>
      <c r="P118" s="4">
        <v>4</v>
      </c>
      <c r="Q118" s="4">
        <v>4</v>
      </c>
      <c r="R118" s="4">
        <v>4</v>
      </c>
      <c r="S118" s="4">
        <v>4</v>
      </c>
      <c r="T118" s="4">
        <v>4</v>
      </c>
      <c r="U118" s="4">
        <v>4</v>
      </c>
      <c r="V118" s="5">
        <v>0</v>
      </c>
      <c r="W118" s="4">
        <v>0</v>
      </c>
      <c r="X118" s="4">
        <v>0</v>
      </c>
    </row>
    <row r="119" spans="1:24" x14ac:dyDescent="0.35">
      <c r="A119" s="38"/>
      <c r="B119" s="38"/>
      <c r="C119" s="56" t="s">
        <v>249</v>
      </c>
      <c r="D119" s="57"/>
      <c r="E119" s="30" t="s">
        <v>103</v>
      </c>
      <c r="F119" s="31"/>
      <c r="G119" s="4">
        <v>3</v>
      </c>
      <c r="H119" s="4">
        <v>3</v>
      </c>
      <c r="I119" s="4">
        <v>3</v>
      </c>
      <c r="J119" s="4">
        <v>3</v>
      </c>
      <c r="K119" s="4">
        <v>3</v>
      </c>
      <c r="L119" s="4">
        <v>3</v>
      </c>
      <c r="M119" s="4">
        <v>3</v>
      </c>
      <c r="N119" s="4">
        <v>3</v>
      </c>
      <c r="O119" s="4">
        <v>3</v>
      </c>
      <c r="P119" s="4">
        <v>3</v>
      </c>
      <c r="Q119" s="4">
        <v>3</v>
      </c>
      <c r="R119" s="4">
        <v>3</v>
      </c>
      <c r="S119" s="4">
        <v>3</v>
      </c>
      <c r="T119" s="4">
        <v>3</v>
      </c>
      <c r="U119" s="4">
        <v>3</v>
      </c>
      <c r="V119" s="5">
        <v>0</v>
      </c>
      <c r="W119" s="4">
        <v>0</v>
      </c>
      <c r="X119" s="4">
        <v>0</v>
      </c>
    </row>
    <row r="120" spans="1:24" x14ac:dyDescent="0.35">
      <c r="A120" s="27"/>
      <c r="B120" s="27"/>
      <c r="C120" s="53" t="s">
        <v>250</v>
      </c>
      <c r="D120" s="53"/>
      <c r="E120" s="30" t="s">
        <v>94</v>
      </c>
      <c r="F120" s="31"/>
      <c r="G120" s="4">
        <v>4</v>
      </c>
      <c r="H120" s="4">
        <v>4</v>
      </c>
      <c r="I120" s="4">
        <v>4</v>
      </c>
      <c r="J120" s="4">
        <v>4</v>
      </c>
      <c r="K120" s="4">
        <v>4</v>
      </c>
      <c r="L120" s="4">
        <v>4</v>
      </c>
      <c r="M120" s="4">
        <v>4</v>
      </c>
      <c r="N120" s="4">
        <v>4</v>
      </c>
      <c r="O120" s="4">
        <v>4</v>
      </c>
      <c r="P120" s="4">
        <v>4</v>
      </c>
      <c r="Q120" s="4">
        <v>4</v>
      </c>
      <c r="R120" s="4">
        <v>4</v>
      </c>
      <c r="S120" s="4">
        <v>4</v>
      </c>
      <c r="T120" s="4">
        <v>4</v>
      </c>
      <c r="U120" s="4">
        <v>4</v>
      </c>
      <c r="V120" s="4">
        <v>4</v>
      </c>
      <c r="W120" s="5">
        <v>0</v>
      </c>
      <c r="X120" s="4">
        <v>0</v>
      </c>
    </row>
    <row r="121" spans="1:24" x14ac:dyDescent="0.35">
      <c r="A121" s="38"/>
      <c r="B121" s="38"/>
      <c r="C121" s="56" t="s">
        <v>251</v>
      </c>
      <c r="D121" s="57"/>
      <c r="E121" s="30" t="s">
        <v>104</v>
      </c>
      <c r="F121" s="31"/>
      <c r="G121" s="4">
        <v>3</v>
      </c>
      <c r="H121" s="4">
        <v>3</v>
      </c>
      <c r="I121" s="4">
        <v>3</v>
      </c>
      <c r="J121" s="4">
        <v>3</v>
      </c>
      <c r="K121" s="4">
        <v>3</v>
      </c>
      <c r="L121" s="4">
        <v>3</v>
      </c>
      <c r="M121" s="4">
        <v>3</v>
      </c>
      <c r="N121" s="4">
        <v>3</v>
      </c>
      <c r="O121" s="4">
        <v>3</v>
      </c>
      <c r="P121" s="4">
        <v>3</v>
      </c>
      <c r="Q121" s="4">
        <v>3</v>
      </c>
      <c r="R121" s="4">
        <v>3</v>
      </c>
      <c r="S121" s="4">
        <v>3</v>
      </c>
      <c r="T121" s="4">
        <v>3</v>
      </c>
      <c r="U121" s="4">
        <v>3</v>
      </c>
      <c r="V121" s="4">
        <v>3</v>
      </c>
      <c r="W121" s="5">
        <v>0</v>
      </c>
      <c r="X121" s="4">
        <v>0</v>
      </c>
    </row>
    <row r="122" spans="1:24" x14ac:dyDescent="0.35">
      <c r="A122" s="38"/>
      <c r="B122" s="27" t="s">
        <v>16</v>
      </c>
      <c r="C122" s="28" t="s">
        <v>252</v>
      </c>
      <c r="D122" s="29"/>
      <c r="E122" s="30" t="s">
        <v>96</v>
      </c>
      <c r="F122" s="31"/>
      <c r="G122" s="4">
        <v>2</v>
      </c>
      <c r="H122" s="4">
        <v>2</v>
      </c>
      <c r="I122" s="4">
        <v>2</v>
      </c>
      <c r="J122" s="4">
        <v>2</v>
      </c>
      <c r="K122" s="4">
        <v>2</v>
      </c>
      <c r="L122" s="4">
        <v>2</v>
      </c>
      <c r="M122" s="5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</row>
    <row r="123" spans="1:24" x14ac:dyDescent="0.35">
      <c r="A123" s="38"/>
      <c r="B123" s="27"/>
      <c r="C123" s="28" t="s">
        <v>253</v>
      </c>
      <c r="D123" s="29"/>
      <c r="E123" s="30" t="s">
        <v>95</v>
      </c>
      <c r="F123" s="31"/>
      <c r="G123" s="4">
        <v>2</v>
      </c>
      <c r="H123" s="4">
        <v>2</v>
      </c>
      <c r="I123" s="4">
        <v>2</v>
      </c>
      <c r="J123" s="4">
        <v>2</v>
      </c>
      <c r="K123" s="4">
        <v>2</v>
      </c>
      <c r="L123" s="4">
        <v>2</v>
      </c>
      <c r="M123" s="4">
        <v>2</v>
      </c>
      <c r="N123" s="4">
        <v>2</v>
      </c>
      <c r="O123" s="5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</row>
    <row r="124" spans="1:24" x14ac:dyDescent="0.35">
      <c r="A124" s="38"/>
      <c r="B124" s="27"/>
      <c r="C124" s="28" t="s">
        <v>279</v>
      </c>
      <c r="D124" s="29"/>
      <c r="E124" s="30" t="s">
        <v>96</v>
      </c>
      <c r="F124" s="31"/>
      <c r="G124" s="4">
        <v>2</v>
      </c>
      <c r="H124" s="4">
        <v>2</v>
      </c>
      <c r="I124" s="4">
        <v>2</v>
      </c>
      <c r="J124" s="4">
        <v>2</v>
      </c>
      <c r="K124" s="4">
        <v>2</v>
      </c>
      <c r="L124" s="4">
        <v>2</v>
      </c>
      <c r="M124" s="4">
        <v>2</v>
      </c>
      <c r="N124" s="4">
        <v>2</v>
      </c>
      <c r="O124" s="4">
        <v>2</v>
      </c>
      <c r="P124" s="4">
        <v>2</v>
      </c>
      <c r="Q124" s="4">
        <v>2</v>
      </c>
      <c r="R124" s="5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</row>
    <row r="125" spans="1:24" x14ac:dyDescent="0.35">
      <c r="A125" s="38"/>
      <c r="B125" s="27"/>
      <c r="C125" s="28" t="s">
        <v>254</v>
      </c>
      <c r="D125" s="29"/>
      <c r="E125" s="30" t="s">
        <v>95</v>
      </c>
      <c r="F125" s="31"/>
      <c r="G125" s="4">
        <v>3</v>
      </c>
      <c r="H125" s="4">
        <v>3</v>
      </c>
      <c r="I125" s="4">
        <v>3</v>
      </c>
      <c r="J125" s="4">
        <v>3</v>
      </c>
      <c r="K125" s="4">
        <v>3</v>
      </c>
      <c r="L125" s="4">
        <v>3</v>
      </c>
      <c r="M125" s="4">
        <v>3</v>
      </c>
      <c r="N125" s="4">
        <v>3</v>
      </c>
      <c r="O125" s="4">
        <v>3</v>
      </c>
      <c r="P125" s="4">
        <v>3</v>
      </c>
      <c r="Q125" s="4">
        <v>3</v>
      </c>
      <c r="R125" s="4">
        <v>3</v>
      </c>
      <c r="S125" s="4">
        <v>3</v>
      </c>
      <c r="T125" s="5">
        <v>0</v>
      </c>
      <c r="U125" s="4">
        <v>0</v>
      </c>
      <c r="V125" s="4">
        <v>0</v>
      </c>
      <c r="W125" s="4">
        <v>0</v>
      </c>
      <c r="X125" s="4">
        <v>0</v>
      </c>
    </row>
    <row r="126" spans="1:24" x14ac:dyDescent="0.35">
      <c r="A126" s="38"/>
      <c r="B126" s="27"/>
      <c r="C126" s="28" t="s">
        <v>255</v>
      </c>
      <c r="D126" s="29"/>
      <c r="E126" s="30" t="s">
        <v>96</v>
      </c>
      <c r="F126" s="31"/>
      <c r="G126" s="4">
        <v>2</v>
      </c>
      <c r="H126" s="4">
        <v>2</v>
      </c>
      <c r="I126" s="4">
        <v>2</v>
      </c>
      <c r="J126" s="4">
        <v>2</v>
      </c>
      <c r="K126" s="4">
        <v>2</v>
      </c>
      <c r="L126" s="4">
        <v>2</v>
      </c>
      <c r="M126" s="4">
        <v>2</v>
      </c>
      <c r="N126" s="4">
        <v>2</v>
      </c>
      <c r="O126" s="4">
        <v>2</v>
      </c>
      <c r="P126" s="4">
        <v>2</v>
      </c>
      <c r="Q126" s="4">
        <v>2</v>
      </c>
      <c r="R126" s="4">
        <v>2</v>
      </c>
      <c r="S126" s="4">
        <v>2</v>
      </c>
      <c r="T126" s="4">
        <v>2</v>
      </c>
      <c r="U126" s="4">
        <v>2</v>
      </c>
      <c r="V126" s="5">
        <v>0</v>
      </c>
      <c r="W126" s="4">
        <v>0</v>
      </c>
      <c r="X126" s="4">
        <v>0</v>
      </c>
    </row>
    <row r="127" spans="1:24" x14ac:dyDescent="0.35">
      <c r="A127" s="38"/>
      <c r="B127" s="27"/>
      <c r="C127" s="28" t="s">
        <v>256</v>
      </c>
      <c r="D127" s="29"/>
      <c r="E127" s="30" t="s">
        <v>95</v>
      </c>
      <c r="F127" s="31"/>
      <c r="G127" s="4">
        <v>2</v>
      </c>
      <c r="H127" s="4">
        <v>2</v>
      </c>
      <c r="I127" s="4">
        <v>2</v>
      </c>
      <c r="J127" s="4">
        <v>2</v>
      </c>
      <c r="K127" s="4">
        <v>2</v>
      </c>
      <c r="L127" s="4">
        <v>2</v>
      </c>
      <c r="M127" s="4">
        <v>2</v>
      </c>
      <c r="N127" s="4">
        <v>2</v>
      </c>
      <c r="O127" s="4">
        <v>2</v>
      </c>
      <c r="P127" s="4">
        <v>2</v>
      </c>
      <c r="Q127" s="4">
        <v>2</v>
      </c>
      <c r="R127" s="4">
        <v>2</v>
      </c>
      <c r="S127" s="4">
        <v>2</v>
      </c>
      <c r="T127" s="4">
        <v>2</v>
      </c>
      <c r="U127" s="4">
        <v>2</v>
      </c>
      <c r="V127" s="4">
        <v>2</v>
      </c>
      <c r="W127" s="5">
        <v>0</v>
      </c>
      <c r="X127" s="4">
        <v>0</v>
      </c>
    </row>
    <row r="128" spans="1:24" x14ac:dyDescent="0.35">
      <c r="A128" s="38"/>
      <c r="B128" s="27" t="s">
        <v>262</v>
      </c>
      <c r="C128" s="28" t="s">
        <v>257</v>
      </c>
      <c r="D128" s="29"/>
      <c r="E128" s="30" t="s">
        <v>17</v>
      </c>
      <c r="F128" s="31"/>
      <c r="G128" s="4">
        <v>4</v>
      </c>
      <c r="H128" s="4">
        <v>4</v>
      </c>
      <c r="I128" s="4">
        <v>4</v>
      </c>
      <c r="J128" s="4">
        <v>4</v>
      </c>
      <c r="K128" s="4">
        <v>4</v>
      </c>
      <c r="L128" s="4">
        <v>4</v>
      </c>
      <c r="M128" s="4">
        <v>4</v>
      </c>
      <c r="N128" s="4">
        <v>4</v>
      </c>
      <c r="O128" s="4">
        <v>4</v>
      </c>
      <c r="P128" s="4">
        <v>4</v>
      </c>
      <c r="Q128" s="4">
        <v>4</v>
      </c>
      <c r="R128" s="4">
        <v>4</v>
      </c>
      <c r="S128" s="4">
        <v>4</v>
      </c>
      <c r="T128" s="4">
        <v>4</v>
      </c>
      <c r="U128" s="4">
        <v>4</v>
      </c>
      <c r="V128" s="4">
        <v>4</v>
      </c>
      <c r="W128" s="4">
        <v>4</v>
      </c>
      <c r="X128" s="5">
        <v>0</v>
      </c>
    </row>
    <row r="129" spans="1:24" x14ac:dyDescent="0.35">
      <c r="A129" s="38"/>
      <c r="B129" s="27"/>
      <c r="C129" s="28" t="s">
        <v>258</v>
      </c>
      <c r="D129" s="29"/>
      <c r="E129" s="30" t="s">
        <v>17</v>
      </c>
      <c r="F129" s="31"/>
      <c r="G129" s="4">
        <v>2</v>
      </c>
      <c r="H129" s="4">
        <v>2</v>
      </c>
      <c r="I129" s="4">
        <v>2</v>
      </c>
      <c r="J129" s="4">
        <v>2</v>
      </c>
      <c r="K129" s="4">
        <v>2</v>
      </c>
      <c r="L129" s="4">
        <v>2</v>
      </c>
      <c r="M129" s="4">
        <v>2</v>
      </c>
      <c r="N129" s="4">
        <v>2</v>
      </c>
      <c r="O129" s="4">
        <v>2</v>
      </c>
      <c r="P129" s="4">
        <v>2</v>
      </c>
      <c r="Q129" s="4">
        <v>2</v>
      </c>
      <c r="R129" s="4">
        <v>2</v>
      </c>
      <c r="S129" s="4">
        <v>2</v>
      </c>
      <c r="T129" s="4">
        <v>2</v>
      </c>
      <c r="U129" s="4">
        <v>2</v>
      </c>
      <c r="V129" s="4">
        <v>2</v>
      </c>
      <c r="W129" s="4">
        <v>2</v>
      </c>
      <c r="X129" s="5">
        <v>0</v>
      </c>
    </row>
    <row r="130" spans="1:24" x14ac:dyDescent="0.35">
      <c r="A130" s="38"/>
      <c r="B130" s="27"/>
      <c r="C130" s="28" t="s">
        <v>259</v>
      </c>
      <c r="D130" s="29"/>
      <c r="E130" s="30" t="s">
        <v>94</v>
      </c>
      <c r="F130" s="31"/>
      <c r="G130" s="4">
        <v>2</v>
      </c>
      <c r="H130" s="4">
        <v>2</v>
      </c>
      <c r="I130" s="4">
        <v>2</v>
      </c>
      <c r="J130" s="4">
        <v>2</v>
      </c>
      <c r="K130" s="4">
        <v>2</v>
      </c>
      <c r="L130" s="4">
        <v>2</v>
      </c>
      <c r="M130" s="4">
        <v>2</v>
      </c>
      <c r="N130" s="4">
        <v>2</v>
      </c>
      <c r="O130" s="4">
        <v>2</v>
      </c>
      <c r="P130" s="4">
        <v>2</v>
      </c>
      <c r="Q130" s="4">
        <v>2</v>
      </c>
      <c r="R130" s="4">
        <v>2</v>
      </c>
      <c r="S130" s="4">
        <v>2</v>
      </c>
      <c r="T130" s="4">
        <v>2</v>
      </c>
      <c r="U130" s="4">
        <v>2</v>
      </c>
      <c r="V130" s="4">
        <v>2</v>
      </c>
      <c r="W130" s="4">
        <v>2</v>
      </c>
      <c r="X130" s="5">
        <v>0</v>
      </c>
    </row>
    <row r="131" spans="1:24" x14ac:dyDescent="0.35">
      <c r="A131" s="38"/>
      <c r="B131" s="27"/>
      <c r="C131" s="28" t="s">
        <v>260</v>
      </c>
      <c r="D131" s="29"/>
      <c r="E131" s="30" t="s">
        <v>96</v>
      </c>
      <c r="F131" s="31"/>
      <c r="G131" s="4">
        <v>2</v>
      </c>
      <c r="H131" s="4">
        <v>2</v>
      </c>
      <c r="I131" s="4">
        <v>2</v>
      </c>
      <c r="J131" s="4">
        <v>2</v>
      </c>
      <c r="K131" s="4">
        <v>2</v>
      </c>
      <c r="L131" s="4">
        <v>2</v>
      </c>
      <c r="M131" s="4">
        <v>2</v>
      </c>
      <c r="N131" s="4">
        <v>2</v>
      </c>
      <c r="O131" s="4">
        <v>2</v>
      </c>
      <c r="P131" s="4">
        <v>2</v>
      </c>
      <c r="Q131" s="4">
        <v>2</v>
      </c>
      <c r="R131" s="4">
        <v>2</v>
      </c>
      <c r="S131" s="4">
        <v>2</v>
      </c>
      <c r="T131" s="4">
        <v>2</v>
      </c>
      <c r="U131" s="4">
        <v>2</v>
      </c>
      <c r="V131" s="4">
        <v>2</v>
      </c>
      <c r="W131" s="4">
        <v>2</v>
      </c>
      <c r="X131" s="5">
        <v>0</v>
      </c>
    </row>
    <row r="132" spans="1:24" x14ac:dyDescent="0.35">
      <c r="A132" s="38"/>
      <c r="B132" s="27"/>
      <c r="C132" s="28" t="s">
        <v>261</v>
      </c>
      <c r="D132" s="29"/>
      <c r="E132" s="30" t="s">
        <v>95</v>
      </c>
      <c r="F132" s="31"/>
      <c r="G132" s="4">
        <v>2</v>
      </c>
      <c r="H132" s="4">
        <v>2</v>
      </c>
      <c r="I132" s="4">
        <v>2</v>
      </c>
      <c r="J132" s="4">
        <v>2</v>
      </c>
      <c r="K132" s="4">
        <v>2</v>
      </c>
      <c r="L132" s="4">
        <v>2</v>
      </c>
      <c r="M132" s="4">
        <v>2</v>
      </c>
      <c r="N132" s="4">
        <v>2</v>
      </c>
      <c r="O132" s="4">
        <v>2</v>
      </c>
      <c r="P132" s="4">
        <v>2</v>
      </c>
      <c r="Q132" s="4">
        <v>2</v>
      </c>
      <c r="R132" s="4">
        <v>2</v>
      </c>
      <c r="S132" s="4">
        <v>2</v>
      </c>
      <c r="T132" s="4">
        <v>2</v>
      </c>
      <c r="U132" s="4">
        <v>2</v>
      </c>
      <c r="V132" s="4">
        <v>2</v>
      </c>
      <c r="W132" s="4">
        <v>2</v>
      </c>
      <c r="X132" s="5">
        <v>0</v>
      </c>
    </row>
    <row r="133" spans="1:24" x14ac:dyDescent="0.35">
      <c r="A133" s="38"/>
      <c r="B133" s="43" t="s">
        <v>12</v>
      </c>
      <c r="C133" s="43"/>
      <c r="D133" s="43"/>
      <c r="E133" s="42" t="s">
        <v>11</v>
      </c>
      <c r="F133" s="42"/>
      <c r="G133" s="30">
        <f>SUM(G73:G132)</f>
        <v>261</v>
      </c>
      <c r="H133" s="31"/>
      <c r="I133" s="4">
        <f t="shared" ref="I133:X133" si="2">SUM(I73:I132)</f>
        <v>249</v>
      </c>
      <c r="J133" s="4">
        <f t="shared" si="2"/>
        <v>245</v>
      </c>
      <c r="K133" s="4">
        <f t="shared" si="2"/>
        <v>232</v>
      </c>
      <c r="L133" s="4">
        <f t="shared" si="2"/>
        <v>216</v>
      </c>
      <c r="M133" s="4">
        <f t="shared" si="2"/>
        <v>200</v>
      </c>
      <c r="N133" s="4">
        <f t="shared" si="2"/>
        <v>190</v>
      </c>
      <c r="O133" s="4">
        <f t="shared" si="2"/>
        <v>171</v>
      </c>
      <c r="P133" s="4">
        <f t="shared" si="2"/>
        <v>148</v>
      </c>
      <c r="Q133" s="4">
        <f t="shared" si="2"/>
        <v>130</v>
      </c>
      <c r="R133" s="4">
        <f t="shared" si="2"/>
        <v>107</v>
      </c>
      <c r="S133" s="4">
        <f t="shared" si="2"/>
        <v>87</v>
      </c>
      <c r="T133" s="4">
        <f t="shared" si="2"/>
        <v>61</v>
      </c>
      <c r="U133" s="4">
        <f t="shared" si="2"/>
        <v>34</v>
      </c>
      <c r="V133" s="4">
        <f t="shared" si="2"/>
        <v>21</v>
      </c>
      <c r="W133" s="4">
        <f t="shared" si="2"/>
        <v>12</v>
      </c>
      <c r="X133" s="4">
        <f t="shared" si="2"/>
        <v>0</v>
      </c>
    </row>
    <row r="134" spans="1:24" x14ac:dyDescent="0.35">
      <c r="A134" s="39"/>
      <c r="B134" s="43"/>
      <c r="C134" s="43"/>
      <c r="D134" s="43"/>
      <c r="E134" s="42" t="s">
        <v>18</v>
      </c>
      <c r="F134" s="42"/>
      <c r="G134" s="30">
        <f>SUM(H73:H132)</f>
        <v>265</v>
      </c>
      <c r="H134" s="31"/>
      <c r="I134" s="4">
        <f t="shared" ref="I134:W134" si="3">SUM(I18:I67)</f>
        <v>253</v>
      </c>
      <c r="J134" s="4">
        <f t="shared" si="3"/>
        <v>240</v>
      </c>
      <c r="K134" s="4">
        <f t="shared" si="3"/>
        <v>231</v>
      </c>
      <c r="L134" s="4">
        <f t="shared" si="3"/>
        <v>217</v>
      </c>
      <c r="M134" s="4">
        <f t="shared" si="3"/>
        <v>190</v>
      </c>
      <c r="N134" s="4">
        <f t="shared" si="3"/>
        <v>189</v>
      </c>
      <c r="O134" s="4">
        <f t="shared" si="3"/>
        <v>171</v>
      </c>
      <c r="P134" s="4">
        <f t="shared" si="3"/>
        <v>142</v>
      </c>
      <c r="Q134" s="4">
        <f t="shared" si="3"/>
        <v>120</v>
      </c>
      <c r="R134" s="4">
        <f t="shared" si="3"/>
        <v>101</v>
      </c>
      <c r="S134" s="4">
        <f t="shared" si="3"/>
        <v>82</v>
      </c>
      <c r="T134" s="4">
        <f t="shared" si="3"/>
        <v>58</v>
      </c>
      <c r="U134" s="4">
        <f t="shared" si="3"/>
        <v>34</v>
      </c>
      <c r="V134" s="4">
        <f t="shared" si="3"/>
        <v>21</v>
      </c>
      <c r="W134" s="4">
        <f t="shared" si="3"/>
        <v>12</v>
      </c>
      <c r="X134" s="4">
        <f>SUM(X18:X67)</f>
        <v>0</v>
      </c>
    </row>
    <row r="138" spans="1:24" ht="16.5" customHeight="1" x14ac:dyDescent="0.35"/>
    <row r="139" spans="1:24" ht="16.5" customHeight="1" x14ac:dyDescent="0.35"/>
    <row r="140" spans="1:24" ht="16.5" customHeight="1" x14ac:dyDescent="0.35"/>
    <row r="141" spans="1:24" ht="16.5" customHeight="1" x14ac:dyDescent="0.35"/>
    <row r="142" spans="1:24" ht="16.5" customHeight="1" x14ac:dyDescent="0.35"/>
    <row r="143" spans="1:24" ht="16.5" customHeight="1" x14ac:dyDescent="0.35"/>
    <row r="144" spans="1:24" ht="16.5" customHeight="1" x14ac:dyDescent="0.35"/>
    <row r="145" ht="16.5" customHeight="1" x14ac:dyDescent="0.35"/>
    <row r="221" ht="30" customHeight="1" x14ac:dyDescent="0.35"/>
    <row r="222" ht="55" customHeight="1" x14ac:dyDescent="0.35"/>
  </sheetData>
  <autoFilter ref="A72:X134" xr:uid="{BC79F72D-FD19-4FB1-9E81-13F332AD79D7}">
    <filterColumn colId="2" showButton="0"/>
    <filterColumn colId="4" showButton="0"/>
  </autoFilter>
  <mergeCells count="269">
    <mergeCell ref="A73:A134"/>
    <mergeCell ref="B73:B75"/>
    <mergeCell ref="C73:D73"/>
    <mergeCell ref="C74:D74"/>
    <mergeCell ref="C75:D75"/>
    <mergeCell ref="C76:D76"/>
    <mergeCell ref="C78:D78"/>
    <mergeCell ref="B76:B83"/>
    <mergeCell ref="B84:B101"/>
    <mergeCell ref="B102:B107"/>
    <mergeCell ref="B133:D134"/>
    <mergeCell ref="B128:B132"/>
    <mergeCell ref="B122:B127"/>
    <mergeCell ref="B108:B121"/>
    <mergeCell ref="C127:D127"/>
    <mergeCell ref="C121:D121"/>
    <mergeCell ref="C114:D114"/>
    <mergeCell ref="C102:D102"/>
    <mergeCell ref="C100:D100"/>
    <mergeCell ref="C92:D92"/>
    <mergeCell ref="C82:D82"/>
    <mergeCell ref="G133:H133"/>
    <mergeCell ref="G134:H134"/>
    <mergeCell ref="E133:F133"/>
    <mergeCell ref="E134:F134"/>
    <mergeCell ref="C130:D130"/>
    <mergeCell ref="E130:F130"/>
    <mergeCell ref="C131:D131"/>
    <mergeCell ref="E131:F131"/>
    <mergeCell ref="C132:D132"/>
    <mergeCell ref="E132:F132"/>
    <mergeCell ref="E127:F127"/>
    <mergeCell ref="C128:D128"/>
    <mergeCell ref="E128:F128"/>
    <mergeCell ref="C129:D129"/>
    <mergeCell ref="E129:F129"/>
    <mergeCell ref="C124:D124"/>
    <mergeCell ref="E124:F124"/>
    <mergeCell ref="C125:D125"/>
    <mergeCell ref="E125:F125"/>
    <mergeCell ref="C126:D126"/>
    <mergeCell ref="E126:F126"/>
    <mergeCell ref="E121:F121"/>
    <mergeCell ref="C122:D122"/>
    <mergeCell ref="E122:F122"/>
    <mergeCell ref="C123:D123"/>
    <mergeCell ref="E123:F123"/>
    <mergeCell ref="E118:F118"/>
    <mergeCell ref="C119:D119"/>
    <mergeCell ref="E119:F119"/>
    <mergeCell ref="C120:D120"/>
    <mergeCell ref="E120:F120"/>
    <mergeCell ref="C118:D118"/>
    <mergeCell ref="E114:F114"/>
    <mergeCell ref="C115:D115"/>
    <mergeCell ref="E115:F115"/>
    <mergeCell ref="C117:D117"/>
    <mergeCell ref="E117:F117"/>
    <mergeCell ref="C106:D106"/>
    <mergeCell ref="E106:F106"/>
    <mergeCell ref="C107:D107"/>
    <mergeCell ref="E107:F107"/>
    <mergeCell ref="C108:D108"/>
    <mergeCell ref="E108:F108"/>
    <mergeCell ref="C110:D110"/>
    <mergeCell ref="C113:D113"/>
    <mergeCell ref="E113:F113"/>
    <mergeCell ref="C116:D116"/>
    <mergeCell ref="E116:F116"/>
    <mergeCell ref="E102:F102"/>
    <mergeCell ref="C103:D103"/>
    <mergeCell ref="E103:F103"/>
    <mergeCell ref="C104:D104"/>
    <mergeCell ref="E104:F104"/>
    <mergeCell ref="E110:F110"/>
    <mergeCell ref="C111:D111"/>
    <mergeCell ref="E111:F111"/>
    <mergeCell ref="C112:D112"/>
    <mergeCell ref="E112:F112"/>
    <mergeCell ref="C105:D105"/>
    <mergeCell ref="E105:F105"/>
    <mergeCell ref="C109:D109"/>
    <mergeCell ref="E109:F109"/>
    <mergeCell ref="E100:F100"/>
    <mergeCell ref="C101:D101"/>
    <mergeCell ref="E101:F101"/>
    <mergeCell ref="C93:D93"/>
    <mergeCell ref="E93:F93"/>
    <mergeCell ref="C95:D95"/>
    <mergeCell ref="E95:F95"/>
    <mergeCell ref="C97:D97"/>
    <mergeCell ref="E97:F97"/>
    <mergeCell ref="E92:F92"/>
    <mergeCell ref="C84:D84"/>
    <mergeCell ref="E84:F84"/>
    <mergeCell ref="C86:D86"/>
    <mergeCell ref="E86:F86"/>
    <mergeCell ref="C87:D87"/>
    <mergeCell ref="E87:F87"/>
    <mergeCell ref="C99:D99"/>
    <mergeCell ref="E99:F99"/>
    <mergeCell ref="C91:D91"/>
    <mergeCell ref="E91:F91"/>
    <mergeCell ref="C94:D94"/>
    <mergeCell ref="E94:F94"/>
    <mergeCell ref="C96:D96"/>
    <mergeCell ref="E96:F96"/>
    <mergeCell ref="C98:D98"/>
    <mergeCell ref="E98:F98"/>
    <mergeCell ref="C88:D88"/>
    <mergeCell ref="E88:F88"/>
    <mergeCell ref="E73:F73"/>
    <mergeCell ref="E74:F74"/>
    <mergeCell ref="E75:F75"/>
    <mergeCell ref="E76:F76"/>
    <mergeCell ref="E78:F78"/>
    <mergeCell ref="C80:D80"/>
    <mergeCell ref="E80:F80"/>
    <mergeCell ref="C81:D81"/>
    <mergeCell ref="E81:F81"/>
    <mergeCell ref="E82:F82"/>
    <mergeCell ref="C83:D83"/>
    <mergeCell ref="E83:F83"/>
    <mergeCell ref="C89:D89"/>
    <mergeCell ref="E89:F89"/>
    <mergeCell ref="C90:D90"/>
    <mergeCell ref="E90:F90"/>
    <mergeCell ref="U70:V70"/>
    <mergeCell ref="W70:X70"/>
    <mergeCell ref="A71:X71"/>
    <mergeCell ref="C72:D72"/>
    <mergeCell ref="E72:F72"/>
    <mergeCell ref="I70:J70"/>
    <mergeCell ref="K70:L70"/>
    <mergeCell ref="M70:N70"/>
    <mergeCell ref="O70:P70"/>
    <mergeCell ref="Q70:R70"/>
    <mergeCell ref="S70:T70"/>
    <mergeCell ref="C77:D77"/>
    <mergeCell ref="E77:F77"/>
    <mergeCell ref="C79:D79"/>
    <mergeCell ref="E79:F79"/>
    <mergeCell ref="C85:D85"/>
    <mergeCell ref="E85:F85"/>
    <mergeCell ref="B57:B62"/>
    <mergeCell ref="C57:D57"/>
    <mergeCell ref="E57:F57"/>
    <mergeCell ref="C58:D58"/>
    <mergeCell ref="E58:F58"/>
    <mergeCell ref="G68:H68"/>
    <mergeCell ref="E69:F69"/>
    <mergeCell ref="G69:H69"/>
    <mergeCell ref="C70:D70"/>
    <mergeCell ref="E70:F70"/>
    <mergeCell ref="G70:H70"/>
    <mergeCell ref="E65:F65"/>
    <mergeCell ref="C66:D66"/>
    <mergeCell ref="E66:F66"/>
    <mergeCell ref="C67:D67"/>
    <mergeCell ref="E67:F67"/>
    <mergeCell ref="B68:D69"/>
    <mergeCell ref="E68:F68"/>
    <mergeCell ref="B63:B67"/>
    <mergeCell ref="C63:D63"/>
    <mergeCell ref="E63:F63"/>
    <mergeCell ref="C64:D64"/>
    <mergeCell ref="E64:F64"/>
    <mergeCell ref="C65:D65"/>
    <mergeCell ref="E54:F54"/>
    <mergeCell ref="C61:D61"/>
    <mergeCell ref="E61:F61"/>
    <mergeCell ref="C62:D62"/>
    <mergeCell ref="E62:F62"/>
    <mergeCell ref="C59:D59"/>
    <mergeCell ref="E59:F59"/>
    <mergeCell ref="C60:D60"/>
    <mergeCell ref="E60:F60"/>
    <mergeCell ref="C49:D49"/>
    <mergeCell ref="E49:F49"/>
    <mergeCell ref="C50:D50"/>
    <mergeCell ref="E50:F50"/>
    <mergeCell ref="C51:D51"/>
    <mergeCell ref="E51:F51"/>
    <mergeCell ref="B45:B56"/>
    <mergeCell ref="C45:D45"/>
    <mergeCell ref="E45:F45"/>
    <mergeCell ref="C46:D46"/>
    <mergeCell ref="E46:F46"/>
    <mergeCell ref="C47:D47"/>
    <mergeCell ref="E47:F47"/>
    <mergeCell ref="C48:D48"/>
    <mergeCell ref="E48:F48"/>
    <mergeCell ref="C55:D55"/>
    <mergeCell ref="E55:F55"/>
    <mergeCell ref="C56:D56"/>
    <mergeCell ref="E56:F56"/>
    <mergeCell ref="C52:D52"/>
    <mergeCell ref="E52:F52"/>
    <mergeCell ref="C53:D53"/>
    <mergeCell ref="E53:F53"/>
    <mergeCell ref="C54:D54"/>
    <mergeCell ref="E41:F41"/>
    <mergeCell ref="C42:D42"/>
    <mergeCell ref="E42:F42"/>
    <mergeCell ref="C43:D43"/>
    <mergeCell ref="E43:F43"/>
    <mergeCell ref="C44:D44"/>
    <mergeCell ref="E44:F44"/>
    <mergeCell ref="B39:B44"/>
    <mergeCell ref="C39:D39"/>
    <mergeCell ref="E39:F39"/>
    <mergeCell ref="C40:D40"/>
    <mergeCell ref="E40:F40"/>
    <mergeCell ref="C41:D41"/>
    <mergeCell ref="B27:B38"/>
    <mergeCell ref="C27:D27"/>
    <mergeCell ref="E27:F27"/>
    <mergeCell ref="C28:D28"/>
    <mergeCell ref="E28:F28"/>
    <mergeCell ref="C29:D29"/>
    <mergeCell ref="E29:F29"/>
    <mergeCell ref="C30:D30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E23:F23"/>
    <mergeCell ref="C24:D24"/>
    <mergeCell ref="E24:F24"/>
    <mergeCell ref="C25:D25"/>
    <mergeCell ref="E25:F25"/>
    <mergeCell ref="E20:F20"/>
    <mergeCell ref="C31:D31"/>
    <mergeCell ref="E31:F31"/>
    <mergeCell ref="C32:D32"/>
    <mergeCell ref="E32:F32"/>
    <mergeCell ref="E30:F30"/>
    <mergeCell ref="A1:B1"/>
    <mergeCell ref="A2:B2"/>
    <mergeCell ref="A3:B3"/>
    <mergeCell ref="A4:B4"/>
    <mergeCell ref="B8:E8"/>
    <mergeCell ref="B15:C15"/>
    <mergeCell ref="B21:B26"/>
    <mergeCell ref="C21:D21"/>
    <mergeCell ref="E21:F21"/>
    <mergeCell ref="C22:D22"/>
    <mergeCell ref="E22:F22"/>
    <mergeCell ref="A16:X16"/>
    <mergeCell ref="C17:D17"/>
    <mergeCell ref="E17:F17"/>
    <mergeCell ref="A18:A69"/>
    <mergeCell ref="B18:B20"/>
    <mergeCell ref="C18:D18"/>
    <mergeCell ref="E18:F18"/>
    <mergeCell ref="C19:D19"/>
    <mergeCell ref="E19:F19"/>
    <mergeCell ref="C20:D20"/>
    <mergeCell ref="C26:D26"/>
    <mergeCell ref="E26:F26"/>
    <mergeCell ref="C23:D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Sprint1</vt:lpstr>
      <vt:lpstr>Sprint2</vt:lpstr>
      <vt:lpstr>Sprint3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thang thang</cp:lastModifiedBy>
  <dcterms:created xsi:type="dcterms:W3CDTF">2021-04-23T08:05:10Z</dcterms:created>
  <dcterms:modified xsi:type="dcterms:W3CDTF">2026-05-06T17:15:15Z</dcterms:modified>
</cp:coreProperties>
</file>